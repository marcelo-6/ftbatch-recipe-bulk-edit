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nderlichmalec-my.sharepoint.com/personal/craig_bass_wmeng_com/Documents/Projects/RBP/FT Batch/"/>
    </mc:Choice>
  </mc:AlternateContent>
  <xr:revisionPtr revIDLastSave="320" documentId="8_{41E1744C-E722-42E8-A51E-F534B9F73FC6}" xr6:coauthVersionLast="47" xr6:coauthVersionMax="47" xr10:uidLastSave="{B647A2A1-DCC8-4D98-82F1-8B42C609EC3E}"/>
  <bookViews>
    <workbookView xWindow="28680" yWindow="-120" windowWidth="29040" windowHeight="15720" xr2:uid="{D25D74C1-8D68-4170-AFC9-4A8BA3AD1369}"/>
  </bookViews>
  <sheets>
    <sheet name="ANALYTICS" sheetId="3" r:id="rId1"/>
    <sheet name="ACQ_REL" sheetId="5" r:id="rId2"/>
    <sheet name="FLOW" sheetId="1" r:id="rId3"/>
    <sheet name="PROCESS" sheetId="2" r:id="rId4"/>
    <sheet name="PROMPT" sheetId="4" r:id="rId5"/>
  </sheets>
  <externalReferences>
    <externalReference r:id="rId6"/>
  </externalReferences>
  <definedNames>
    <definedName name="Phase_Class__Adjustment">'[1]4. Phase Class'!#REF!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6" i="5"/>
  <c r="D10" i="5"/>
  <c r="D11" i="5"/>
  <c r="D12" i="5"/>
  <c r="D2" i="5"/>
  <c r="C5" i="5"/>
  <c r="C6" i="5"/>
  <c r="C10" i="5"/>
  <c r="C11" i="5"/>
  <c r="C12" i="5"/>
  <c r="C2" i="5"/>
  <c r="E2" i="5" s="1"/>
  <c r="C22" i="2"/>
  <c r="C11" i="2"/>
  <c r="C6" i="2"/>
  <c r="D6" i="2" s="1"/>
  <c r="E6" i="2" s="1"/>
  <c r="C3" i="2"/>
  <c r="C4" i="2"/>
  <c r="D4" i="2" s="1"/>
  <c r="E4" i="2" s="1"/>
  <c r="C5" i="2"/>
  <c r="C9" i="2"/>
  <c r="C10" i="2"/>
  <c r="C12" i="2"/>
  <c r="C13" i="2"/>
  <c r="D13" i="2" s="1"/>
  <c r="C14" i="2"/>
  <c r="C15" i="2"/>
  <c r="C16" i="2"/>
  <c r="C20" i="2"/>
  <c r="C21" i="2"/>
  <c r="C23" i="2"/>
  <c r="C24" i="2"/>
  <c r="C25" i="2"/>
  <c r="C26" i="2"/>
  <c r="C27" i="2"/>
  <c r="C2" i="2"/>
  <c r="D2" i="2" s="1"/>
  <c r="E2" i="2" s="1"/>
  <c r="D21" i="2"/>
  <c r="E21" i="2" s="1"/>
  <c r="D23" i="2"/>
  <c r="E23" i="2" s="1"/>
  <c r="C2" i="1"/>
  <c r="D11" i="3"/>
  <c r="B19" i="3"/>
  <c r="C19" i="3" s="1"/>
  <c r="D19" i="3" s="1"/>
  <c r="E19" i="3" s="1"/>
  <c r="B5" i="5"/>
  <c r="B6" i="5"/>
  <c r="E8" i="5"/>
  <c r="B10" i="5"/>
  <c r="B11" i="5"/>
  <c r="B12" i="5"/>
  <c r="B2" i="5"/>
  <c r="B2" i="3"/>
  <c r="C2" i="3" s="1"/>
  <c r="D2" i="3" s="1"/>
  <c r="E2" i="3" s="1"/>
  <c r="B3" i="3"/>
  <c r="B6" i="3"/>
  <c r="C6" i="3" s="1"/>
  <c r="B7" i="3"/>
  <c r="B8" i="3"/>
  <c r="B9" i="3"/>
  <c r="B10" i="3"/>
  <c r="B11" i="3"/>
  <c r="B12" i="3"/>
  <c r="E15" i="3"/>
  <c r="C7" i="3"/>
  <c r="C8" i="3"/>
  <c r="C9" i="3"/>
  <c r="D9" i="3" s="1"/>
  <c r="E9" i="3" s="1"/>
  <c r="C10" i="3"/>
  <c r="C11" i="3"/>
  <c r="C12" i="3"/>
  <c r="D12" i="3" s="1"/>
  <c r="E12" i="3" s="1"/>
  <c r="E16" i="4"/>
  <c r="E17" i="4"/>
  <c r="E18" i="4"/>
  <c r="E19" i="4"/>
  <c r="E20" i="4"/>
  <c r="B3" i="4"/>
  <c r="B4" i="4"/>
  <c r="B5" i="4"/>
  <c r="B6" i="4"/>
  <c r="C6" i="4" s="1"/>
  <c r="D6" i="4" s="1"/>
  <c r="E6" i="4" s="1"/>
  <c r="B7" i="4"/>
  <c r="C7" i="4" s="1"/>
  <c r="D7" i="4" s="1"/>
  <c r="E7" i="4" s="1"/>
  <c r="B8" i="4"/>
  <c r="C8" i="4" s="1"/>
  <c r="D8" i="4" s="1"/>
  <c r="E8" i="4" s="1"/>
  <c r="B9" i="4"/>
  <c r="C9" i="4" s="1"/>
  <c r="D9" i="4" s="1"/>
  <c r="E9" i="4" s="1"/>
  <c r="B10" i="4"/>
  <c r="C10" i="4" s="1"/>
  <c r="D10" i="4" s="1"/>
  <c r="E10" i="4" s="1"/>
  <c r="B11" i="4"/>
  <c r="C11" i="4" s="1"/>
  <c r="D11" i="4" s="1"/>
  <c r="E11" i="4" s="1"/>
  <c r="B12" i="4"/>
  <c r="C12" i="4" s="1"/>
  <c r="D12" i="4" s="1"/>
  <c r="E12" i="4" s="1"/>
  <c r="B13" i="4"/>
  <c r="C13" i="4" s="1"/>
  <c r="D13" i="4" s="1"/>
  <c r="E13" i="4" s="1"/>
  <c r="B14" i="4"/>
  <c r="C14" i="4" s="1"/>
  <c r="D14" i="4" s="1"/>
  <c r="E14" i="4" s="1"/>
  <c r="B15" i="4"/>
  <c r="C15" i="4" s="1"/>
  <c r="D15" i="4" s="1"/>
  <c r="E15" i="4" s="1"/>
  <c r="B16" i="4"/>
  <c r="B17" i="4"/>
  <c r="B18" i="4"/>
  <c r="B19" i="4"/>
  <c r="B20" i="4"/>
  <c r="B2" i="4"/>
  <c r="E2" i="4" s="1"/>
  <c r="C17" i="4"/>
  <c r="D17" i="4" s="1"/>
  <c r="C16" i="4"/>
  <c r="D16" i="4" s="1"/>
  <c r="C5" i="4"/>
  <c r="D5" i="4" s="1"/>
  <c r="E5" i="4" s="1"/>
  <c r="C4" i="4"/>
  <c r="D4" i="4" s="1"/>
  <c r="E4" i="4" s="1"/>
  <c r="E3" i="4"/>
  <c r="C3" i="3"/>
  <c r="C14" i="3"/>
  <c r="C16" i="3"/>
  <c r="C17" i="3"/>
  <c r="C18" i="3"/>
  <c r="B14" i="3"/>
  <c r="B16" i="3"/>
  <c r="B17" i="3"/>
  <c r="D17" i="3" s="1"/>
  <c r="E17" i="3" s="1"/>
  <c r="B18" i="3"/>
  <c r="D18" i="3" s="1"/>
  <c r="E18" i="3" s="1"/>
  <c r="D14" i="3"/>
  <c r="E14" i="3" s="1"/>
  <c r="D16" i="3"/>
  <c r="E16" i="3" s="1"/>
  <c r="B3" i="2"/>
  <c r="D3" i="2" s="1"/>
  <c r="E3" i="2" s="1"/>
  <c r="B4" i="2"/>
  <c r="B5" i="2"/>
  <c r="D5" i="2" s="1"/>
  <c r="E5" i="2" s="1"/>
  <c r="B6" i="2"/>
  <c r="E7" i="2"/>
  <c r="E8" i="2"/>
  <c r="B9" i="2"/>
  <c r="D9" i="2" s="1"/>
  <c r="E9" i="2" s="1"/>
  <c r="B10" i="2"/>
  <c r="D10" i="2" s="1"/>
  <c r="E10" i="2" s="1"/>
  <c r="B11" i="2"/>
  <c r="D11" i="2" s="1"/>
  <c r="E11" i="2" s="1"/>
  <c r="B12" i="2"/>
  <c r="B13" i="2"/>
  <c r="B14" i="2"/>
  <c r="B15" i="2"/>
  <c r="D15" i="2" s="1"/>
  <c r="E15" i="2" s="1"/>
  <c r="B16" i="2"/>
  <c r="D16" i="2" s="1"/>
  <c r="E16" i="2" s="1"/>
  <c r="E17" i="2"/>
  <c r="E19" i="2"/>
  <c r="B20" i="2"/>
  <c r="D20" i="2" s="1"/>
  <c r="E20" i="2" s="1"/>
  <c r="B21" i="2"/>
  <c r="B22" i="2"/>
  <c r="D22" i="2" s="1"/>
  <c r="E22" i="2" s="1"/>
  <c r="B23" i="2"/>
  <c r="B24" i="2"/>
  <c r="B25" i="2"/>
  <c r="B26" i="2"/>
  <c r="B27" i="2"/>
  <c r="D27" i="2" s="1"/>
  <c r="E27" i="2" s="1"/>
  <c r="B2" i="2"/>
  <c r="B78" i="1"/>
  <c r="C78" i="1" s="1"/>
  <c r="D78" i="1" s="1"/>
  <c r="E78" i="1" s="1"/>
  <c r="B77" i="1"/>
  <c r="C77" i="1" s="1"/>
  <c r="D77" i="1" s="1"/>
  <c r="E77" i="1" s="1"/>
  <c r="B76" i="1"/>
  <c r="C76" i="1" s="1"/>
  <c r="D76" i="1" s="1"/>
  <c r="E76" i="1" s="1"/>
  <c r="B75" i="1"/>
  <c r="C75" i="1" s="1"/>
  <c r="D75" i="1" s="1"/>
  <c r="E75" i="1" s="1"/>
  <c r="B74" i="1"/>
  <c r="C74" i="1" s="1"/>
  <c r="D74" i="1" s="1"/>
  <c r="E74" i="1" s="1"/>
  <c r="B73" i="1"/>
  <c r="C73" i="1" s="1"/>
  <c r="D73" i="1" s="1"/>
  <c r="E73" i="1" s="1"/>
  <c r="B72" i="1"/>
  <c r="C72" i="1" s="1"/>
  <c r="D72" i="1" s="1"/>
  <c r="E72" i="1" s="1"/>
  <c r="B71" i="1"/>
  <c r="C71" i="1" s="1"/>
  <c r="D71" i="1" s="1"/>
  <c r="E71" i="1" s="1"/>
  <c r="B70" i="1"/>
  <c r="C70" i="1" s="1"/>
  <c r="D70" i="1" s="1"/>
  <c r="E70" i="1" s="1"/>
  <c r="B69" i="1"/>
  <c r="C69" i="1" s="1"/>
  <c r="D69" i="1" s="1"/>
  <c r="E69" i="1" s="1"/>
  <c r="B68" i="1"/>
  <c r="C68" i="1" s="1"/>
  <c r="D68" i="1" s="1"/>
  <c r="E68" i="1" s="1"/>
  <c r="B67" i="1"/>
  <c r="C67" i="1" s="1"/>
  <c r="D67" i="1" s="1"/>
  <c r="E67" i="1" s="1"/>
  <c r="B66" i="1"/>
  <c r="C66" i="1" s="1"/>
  <c r="D66" i="1" s="1"/>
  <c r="E66" i="1" s="1"/>
  <c r="B65" i="1"/>
  <c r="C65" i="1" s="1"/>
  <c r="D65" i="1" s="1"/>
  <c r="E65" i="1" s="1"/>
  <c r="B64" i="1"/>
  <c r="C64" i="1" s="1"/>
  <c r="D64" i="1" s="1"/>
  <c r="E64" i="1" s="1"/>
  <c r="B63" i="1"/>
  <c r="C63" i="1" s="1"/>
  <c r="D63" i="1" s="1"/>
  <c r="E63" i="1" s="1"/>
  <c r="B62" i="1"/>
  <c r="C62" i="1" s="1"/>
  <c r="D62" i="1" s="1"/>
  <c r="E62" i="1" s="1"/>
  <c r="B61" i="1"/>
  <c r="C61" i="1" s="1"/>
  <c r="D61" i="1" s="1"/>
  <c r="E61" i="1" s="1"/>
  <c r="B60" i="1"/>
  <c r="C60" i="1" s="1"/>
  <c r="D60" i="1" s="1"/>
  <c r="E60" i="1" s="1"/>
  <c r="B59" i="1"/>
  <c r="C59" i="1" s="1"/>
  <c r="D59" i="1" s="1"/>
  <c r="E59" i="1" s="1"/>
  <c r="B58" i="1"/>
  <c r="C58" i="1" s="1"/>
  <c r="D58" i="1" s="1"/>
  <c r="E58" i="1" s="1"/>
  <c r="B57" i="1"/>
  <c r="C57" i="1" s="1"/>
  <c r="D57" i="1" s="1"/>
  <c r="E57" i="1" s="1"/>
  <c r="B56" i="1"/>
  <c r="C56" i="1" s="1"/>
  <c r="D56" i="1" s="1"/>
  <c r="E56" i="1" s="1"/>
  <c r="B55" i="1"/>
  <c r="C55" i="1" s="1"/>
  <c r="D55" i="1" s="1"/>
  <c r="E55" i="1" s="1"/>
  <c r="B54" i="1"/>
  <c r="C54" i="1" s="1"/>
  <c r="D54" i="1" s="1"/>
  <c r="E54" i="1" s="1"/>
  <c r="B53" i="1"/>
  <c r="C53" i="1" s="1"/>
  <c r="D53" i="1" s="1"/>
  <c r="E53" i="1" s="1"/>
  <c r="B52" i="1"/>
  <c r="C52" i="1" s="1"/>
  <c r="D52" i="1" s="1"/>
  <c r="E52" i="1" s="1"/>
  <c r="B51" i="1"/>
  <c r="C51" i="1" s="1"/>
  <c r="D51" i="1" s="1"/>
  <c r="E51" i="1" s="1"/>
  <c r="B50" i="1"/>
  <c r="C50" i="1" s="1"/>
  <c r="D50" i="1" s="1"/>
  <c r="E50" i="1" s="1"/>
  <c r="B49" i="1"/>
  <c r="C49" i="1" s="1"/>
  <c r="D49" i="1" s="1"/>
  <c r="E49" i="1" s="1"/>
  <c r="B48" i="1"/>
  <c r="C48" i="1" s="1"/>
  <c r="D48" i="1" s="1"/>
  <c r="E48" i="1" s="1"/>
  <c r="B47" i="1"/>
  <c r="C47" i="1" s="1"/>
  <c r="D47" i="1" s="1"/>
  <c r="E47" i="1" s="1"/>
  <c r="B46" i="1"/>
  <c r="C46" i="1" s="1"/>
  <c r="D46" i="1" s="1"/>
  <c r="E46" i="1" s="1"/>
  <c r="B45" i="1"/>
  <c r="C45" i="1" s="1"/>
  <c r="D45" i="1" s="1"/>
  <c r="E45" i="1" s="1"/>
  <c r="B44" i="1"/>
  <c r="C44" i="1" s="1"/>
  <c r="D44" i="1" s="1"/>
  <c r="E44" i="1" s="1"/>
  <c r="B43" i="1"/>
  <c r="C43" i="1" s="1"/>
  <c r="D43" i="1" s="1"/>
  <c r="E43" i="1" s="1"/>
  <c r="B42" i="1"/>
  <c r="C42" i="1" s="1"/>
  <c r="D42" i="1" s="1"/>
  <c r="E42" i="1" s="1"/>
  <c r="B41" i="1"/>
  <c r="C41" i="1" s="1"/>
  <c r="D41" i="1" s="1"/>
  <c r="E41" i="1" s="1"/>
  <c r="B40" i="1"/>
  <c r="C40" i="1" s="1"/>
  <c r="D40" i="1" s="1"/>
  <c r="E40" i="1" s="1"/>
  <c r="B39" i="1"/>
  <c r="C39" i="1" s="1"/>
  <c r="D39" i="1" s="1"/>
  <c r="E39" i="1" s="1"/>
  <c r="B38" i="1"/>
  <c r="C38" i="1" s="1"/>
  <c r="D38" i="1" s="1"/>
  <c r="E38" i="1" s="1"/>
  <c r="B37" i="1"/>
  <c r="C37" i="1" s="1"/>
  <c r="D37" i="1" s="1"/>
  <c r="E37" i="1" s="1"/>
  <c r="B36" i="1"/>
  <c r="C36" i="1" s="1"/>
  <c r="D36" i="1" s="1"/>
  <c r="E36" i="1" s="1"/>
  <c r="B35" i="1"/>
  <c r="C35" i="1" s="1"/>
  <c r="D35" i="1" s="1"/>
  <c r="E35" i="1" s="1"/>
  <c r="B34" i="1"/>
  <c r="C34" i="1" s="1"/>
  <c r="D34" i="1" s="1"/>
  <c r="E34" i="1" s="1"/>
  <c r="B33" i="1"/>
  <c r="C33" i="1" s="1"/>
  <c r="D33" i="1" s="1"/>
  <c r="E33" i="1" s="1"/>
  <c r="B32" i="1"/>
  <c r="C32" i="1" s="1"/>
  <c r="D32" i="1" s="1"/>
  <c r="E32" i="1" s="1"/>
  <c r="B31" i="1"/>
  <c r="C31" i="1" s="1"/>
  <c r="D31" i="1" s="1"/>
  <c r="E31" i="1" s="1"/>
  <c r="B30" i="1"/>
  <c r="C30" i="1" s="1"/>
  <c r="D30" i="1" s="1"/>
  <c r="E30" i="1" s="1"/>
  <c r="B29" i="1"/>
  <c r="C29" i="1" s="1"/>
  <c r="D29" i="1" s="1"/>
  <c r="E29" i="1" s="1"/>
  <c r="B28" i="1"/>
  <c r="C28" i="1" s="1"/>
  <c r="D28" i="1" s="1"/>
  <c r="E28" i="1" s="1"/>
  <c r="B27" i="1"/>
  <c r="C27" i="1" s="1"/>
  <c r="D27" i="1" s="1"/>
  <c r="E27" i="1" s="1"/>
  <c r="B26" i="1"/>
  <c r="C26" i="1" s="1"/>
  <c r="D26" i="1" s="1"/>
  <c r="E26" i="1" s="1"/>
  <c r="B25" i="1"/>
  <c r="C25" i="1" s="1"/>
  <c r="D25" i="1" s="1"/>
  <c r="E25" i="1" s="1"/>
  <c r="B24" i="1"/>
  <c r="C24" i="1" s="1"/>
  <c r="D24" i="1" s="1"/>
  <c r="E24" i="1" s="1"/>
  <c r="B23" i="1"/>
  <c r="C23" i="1" s="1"/>
  <c r="D23" i="1" s="1"/>
  <c r="E23" i="1" s="1"/>
  <c r="B22" i="1"/>
  <c r="C22" i="1" s="1"/>
  <c r="D22" i="1" s="1"/>
  <c r="E22" i="1" s="1"/>
  <c r="B21" i="1"/>
  <c r="C21" i="1" s="1"/>
  <c r="D21" i="1" s="1"/>
  <c r="E21" i="1" s="1"/>
  <c r="B20" i="1"/>
  <c r="C20" i="1" s="1"/>
  <c r="D20" i="1" s="1"/>
  <c r="E20" i="1" s="1"/>
  <c r="B19" i="1"/>
  <c r="C19" i="1" s="1"/>
  <c r="D19" i="1" s="1"/>
  <c r="E19" i="1" s="1"/>
  <c r="B18" i="1"/>
  <c r="C18" i="1" s="1"/>
  <c r="D18" i="1" s="1"/>
  <c r="E18" i="1" s="1"/>
  <c r="B17" i="1"/>
  <c r="C17" i="1" s="1"/>
  <c r="D17" i="1" s="1"/>
  <c r="E17" i="1" s="1"/>
  <c r="B16" i="1"/>
  <c r="C16" i="1" s="1"/>
  <c r="D16" i="1" s="1"/>
  <c r="E16" i="1" s="1"/>
  <c r="E15" i="1"/>
  <c r="B14" i="1"/>
  <c r="C14" i="1" s="1"/>
  <c r="D14" i="1" s="1"/>
  <c r="E14" i="1" s="1"/>
  <c r="B13" i="1"/>
  <c r="C13" i="1" s="1"/>
  <c r="D13" i="1" s="1"/>
  <c r="E13" i="1" s="1"/>
  <c r="E12" i="1"/>
  <c r="B11" i="1"/>
  <c r="C11" i="1" s="1"/>
  <c r="D11" i="1" s="1"/>
  <c r="E11" i="1" s="1"/>
  <c r="B10" i="1"/>
  <c r="C10" i="1" s="1"/>
  <c r="D10" i="1" s="1"/>
  <c r="E10" i="1" s="1"/>
  <c r="B9" i="1"/>
  <c r="C9" i="1" s="1"/>
  <c r="D9" i="1" s="1"/>
  <c r="E9" i="1" s="1"/>
  <c r="B8" i="1"/>
  <c r="C8" i="1" s="1"/>
  <c r="D8" i="1" s="1"/>
  <c r="E8" i="1" s="1"/>
  <c r="B7" i="1"/>
  <c r="C7" i="1" s="1"/>
  <c r="D7" i="1" s="1"/>
  <c r="E7" i="1" s="1"/>
  <c r="B6" i="1"/>
  <c r="C6" i="1" s="1"/>
  <c r="D6" i="1" s="1"/>
  <c r="E6" i="1" s="1"/>
  <c r="B5" i="1"/>
  <c r="C5" i="1" s="1"/>
  <c r="D5" i="1" s="1"/>
  <c r="E5" i="1" s="1"/>
  <c r="B4" i="1"/>
  <c r="C4" i="1" s="1"/>
  <c r="D4" i="1" s="1"/>
  <c r="E4" i="1" s="1"/>
  <c r="B3" i="1"/>
  <c r="C3" i="1" s="1"/>
  <c r="D3" i="1" s="1"/>
  <c r="E3" i="1" s="1"/>
  <c r="B2" i="1"/>
  <c r="D2" i="1" s="1"/>
  <c r="E2" i="1" s="1"/>
  <c r="E12" i="5" l="1"/>
  <c r="E11" i="5"/>
  <c r="E10" i="5"/>
  <c r="E9" i="5"/>
  <c r="E13" i="2"/>
  <c r="D14" i="2"/>
  <c r="E14" i="2" s="1"/>
  <c r="D12" i="2"/>
  <c r="E12" i="2" s="1"/>
  <c r="E18" i="2"/>
  <c r="D26" i="2"/>
  <c r="E26" i="2" s="1"/>
  <c r="D25" i="2"/>
  <c r="E25" i="2" s="1"/>
  <c r="D24" i="2"/>
  <c r="E24" i="2" s="1"/>
  <c r="E7" i="5"/>
  <c r="E6" i="5"/>
  <c r="E5" i="5"/>
  <c r="E4" i="5"/>
  <c r="E3" i="5"/>
  <c r="E13" i="3"/>
  <c r="E5" i="3"/>
  <c r="D7" i="3"/>
  <c r="E7" i="3" s="1"/>
  <c r="E4" i="3"/>
  <c r="E11" i="3"/>
  <c r="D10" i="3"/>
  <c r="E10" i="3" s="1"/>
  <c r="D8" i="3"/>
  <c r="E8" i="3" s="1"/>
  <c r="D6" i="3"/>
  <c r="E6" i="3" s="1"/>
  <c r="D3" i="3"/>
  <c r="E3" i="3" s="1"/>
</calcChain>
</file>

<file path=xl/sharedStrings.xml><?xml version="1.0" encoding="utf-8"?>
<sst xmlns="http://schemas.openxmlformats.org/spreadsheetml/2006/main" count="409" uniqueCount="155">
  <si>
    <t>Operation</t>
  </si>
  <si>
    <t>Unit Procedure</t>
  </si>
  <si>
    <t>Procedure</t>
  </si>
  <si>
    <t>COLLECT_VLV_CMD_01</t>
  </si>
  <si>
    <t>COLLECT_VLV_CMD_02</t>
  </si>
  <si>
    <t>COLLECT_VLV_CMD_03</t>
  </si>
  <si>
    <t>COLLECT_VLV_CMD_04</t>
  </si>
  <si>
    <t>CTRL_VLV_CTRL_MODE</t>
  </si>
  <si>
    <t>CTRL_VLV_CTRL_SP</t>
  </si>
  <si>
    <t>CTRL_VLV_INIT_TMR</t>
  </si>
  <si>
    <t>CTRL_VLV_OUTPUT_SP</t>
  </si>
  <si>
    <t>CTRL_VLV_SP_DB</t>
  </si>
  <si>
    <t>CTRL_VLV_STATE_CMD</t>
  </si>
  <si>
    <t>END_PHASE_PROMPT</t>
  </si>
  <si>
    <t>END_XFER_PERCENTAGE</t>
  </si>
  <si>
    <t>END_XFER_TYPE</t>
  </si>
  <si>
    <t>END_TYPE</t>
  </si>
  <si>
    <t>END_VLV_CMD_01</t>
  </si>
  <si>
    <t>END_VLV_CMD_02</t>
  </si>
  <si>
    <t>END_VLV_CMD_03</t>
  </si>
  <si>
    <t>END_VLV_CMD_04</t>
  </si>
  <si>
    <t>END_VLV_CMD_05</t>
  </si>
  <si>
    <t>END_VLV_CMD_06</t>
  </si>
  <si>
    <t>FLOW_HI_ALM_DB</t>
  </si>
  <si>
    <t>FLOW_HIHI_ALM_DB</t>
  </si>
  <si>
    <t>FLOW_LO_ALM_DB</t>
  </si>
  <si>
    <t>FLOW_LOLO_ALM_DB</t>
  </si>
  <si>
    <t>FLOW_MAX_STABLE_TMR</t>
  </si>
  <si>
    <t>FLOW_SP_DB</t>
  </si>
  <si>
    <t>FLOW_STABLE_TMR</t>
  </si>
  <si>
    <t>FLOW_ZERO_DEVICE</t>
  </si>
  <si>
    <t>HOLD_UP_VOLUME</t>
  </si>
  <si>
    <t>MON_STATE_CMD</t>
  </si>
  <si>
    <t>MON_TRANS_DELAY_TIME</t>
  </si>
  <si>
    <t>MON_WT_DEV</t>
  </si>
  <si>
    <t>MON_WT_DEV_ENBL</t>
  </si>
  <si>
    <t>MON_WT_NO_CHNG_ENBL</t>
  </si>
  <si>
    <t>MON_WT_SP</t>
  </si>
  <si>
    <t>MON_WT_SP_ENBL</t>
  </si>
  <si>
    <t>PRIME_CTRL_MODE</t>
  </si>
  <si>
    <t>PRIME_CTRL_SP</t>
  </si>
  <si>
    <t>PRIME_SPEED_SP</t>
  </si>
  <si>
    <t>PRIME_STATE_CMD_01</t>
  </si>
  <si>
    <t>PRIME_STATE_CMD_02</t>
  </si>
  <si>
    <t>PRIME_STATE_CMD_03</t>
  </si>
  <si>
    <t>PRIME_STATE_CMD_04</t>
  </si>
  <si>
    <t>PRIME_TRANS_DLY_TIME</t>
  </si>
  <si>
    <t>PRIME_TRANS_SP</t>
  </si>
  <si>
    <t>PRIME_TRANS_TYPE</t>
  </si>
  <si>
    <t>PRIME_VLV_CMD_05</t>
  </si>
  <si>
    <t>PRIME_VLV_CMD_06</t>
  </si>
  <si>
    <t>PUMP_CTRL_MODE_01</t>
  </si>
  <si>
    <t>PUMP_CTRL_MODE_02</t>
  </si>
  <si>
    <t>PUMP_CTRL_MODE_03</t>
  </si>
  <si>
    <t>PUMP_CTRL_MODE_04</t>
  </si>
  <si>
    <t>PUMP_CTRL_SP_01</t>
  </si>
  <si>
    <t>PUMP_CTRL_SP_02</t>
  </si>
  <si>
    <t>PUMP_CTRL_SP_03</t>
  </si>
  <si>
    <t>PUMP_CTRL_SP_04</t>
  </si>
  <si>
    <t>PUMP_SPEED_SP_01</t>
  </si>
  <si>
    <t>PUMP_SPEED_SP_02</t>
  </si>
  <si>
    <t>PUMP_SPEED_SP_03</t>
  </si>
  <si>
    <t>PUMP_SPEED_SP_04</t>
  </si>
  <si>
    <t>PUMP_STATE_CMD_01</t>
  </si>
  <si>
    <t>PUMP_STATE_CMD_02</t>
  </si>
  <si>
    <t>PUMP_STATE_CMD_03</t>
  </si>
  <si>
    <t>PUMP_STATE_CMD_04</t>
  </si>
  <si>
    <t>PUMP_VLV_CMD_01</t>
  </si>
  <si>
    <t>PUMP_VLV_CMD_02</t>
  </si>
  <si>
    <t>PUMP_VLV_CMD_03</t>
  </si>
  <si>
    <t>PUMP_VLV_CMD_04</t>
  </si>
  <si>
    <t>RESTART_TYPE</t>
  </si>
  <si>
    <t>START_PHASE_PROMPT</t>
  </si>
  <si>
    <t>START_TMR</t>
  </si>
  <si>
    <t>SYNC</t>
  </si>
  <si>
    <t>TOT_DEVICE</t>
  </si>
  <si>
    <t>WASTE_VLV_CMD_01</t>
  </si>
  <si>
    <t>WASTE_VLV_CMD_02</t>
  </si>
  <si>
    <t>WASTE_VLV_CMD_03</t>
  </si>
  <si>
    <t>WASTE_VLV_CMD_04</t>
  </si>
  <si>
    <t>AG_LOW_SPEED_SP</t>
  </si>
  <si>
    <t>AG_MIN_START_SP</t>
  </si>
  <si>
    <t>AG_SPEED_SP</t>
  </si>
  <si>
    <t>PAT_MIN_START_SP</t>
  </si>
  <si>
    <t>TEMP_MIN_START_SP</t>
  </si>
  <si>
    <t>TEMP_SPEED_SP</t>
  </si>
  <si>
    <t>AG_STATE_CMD</t>
  </si>
  <si>
    <t>PAT_STATE_CMD</t>
  </si>
  <si>
    <t>TEMP_STATE_CMD</t>
  </si>
  <si>
    <t>AG_LOW_WT_SP</t>
  </si>
  <si>
    <t>TEMP_HIHI_ALM</t>
  </si>
  <si>
    <t>TEMP_HI_ALM</t>
  </si>
  <si>
    <t>TEMP_SP_DB</t>
  </si>
  <si>
    <t>TEMP_CTRL_MODE</t>
  </si>
  <si>
    <t>TEMP_CTRL_SP</t>
  </si>
  <si>
    <t>Phase (abbreviated)</t>
  </si>
  <si>
    <t>REC_FLSH_TIMER</t>
  </si>
  <si>
    <t>REC_INIT_TIMER</t>
  </si>
  <si>
    <t>REC_MIN_START_SP</t>
  </si>
  <si>
    <t>REC_SP_DB</t>
  </si>
  <si>
    <t>REC_SPEED_SP</t>
  </si>
  <si>
    <t>REC_STATE_CMD</t>
  </si>
  <si>
    <t>Type</t>
  </si>
  <si>
    <t>REAL</t>
  </si>
  <si>
    <t>ENUM</t>
  </si>
  <si>
    <t>INTEGER</t>
  </si>
  <si>
    <t>N_EMSTATE</t>
  </si>
  <si>
    <t>N_DISABLEENABLE</t>
  </si>
  <si>
    <t>N_ENDTYPE</t>
  </si>
  <si>
    <t>N_RESTARTTYPE</t>
  </si>
  <si>
    <t>X R_END_TYPE</t>
  </si>
  <si>
    <t>EQUIPMENT_SETUP</t>
  </si>
  <si>
    <t>FLOW_RATE</t>
  </si>
  <si>
    <t>MAST_METHOD_ID</t>
  </si>
  <si>
    <t>MAX_LOADING</t>
  </si>
  <si>
    <t>MEMBRANE_AREA</t>
  </si>
  <si>
    <t>MIN_LOADING</t>
  </si>
  <si>
    <t>SAMPLE_DEVICE</t>
  </si>
  <si>
    <t>TIME_OUT_SEC</t>
  </si>
  <si>
    <t>UNIT_BATCH_ID</t>
  </si>
  <si>
    <t>Length</t>
  </si>
  <si>
    <t>STRING</t>
  </si>
  <si>
    <t>Enumeration</t>
  </si>
  <si>
    <t>CALC_OPTION</t>
  </si>
  <si>
    <t>TARGET_CONC</t>
  </si>
  <si>
    <t>UNIT_CONVERSION</t>
  </si>
  <si>
    <t>MAST_PILOT_NUM</t>
  </si>
  <si>
    <t>COL_VOLUME</t>
  </si>
  <si>
    <t>PROMPT_TITLE_1</t>
  </si>
  <si>
    <t>PROMPT_TITLE_2</t>
  </si>
  <si>
    <t>MSG_CRITERIA_1</t>
  </si>
  <si>
    <t>MSG_CRITERIA_2</t>
  </si>
  <si>
    <t>MSG_EU_1</t>
  </si>
  <si>
    <t>MSG_EU_2</t>
  </si>
  <si>
    <t>MSG_HI_LIM_1</t>
  </si>
  <si>
    <t>MSG_HI_LIM_2</t>
  </si>
  <si>
    <t>MSG_LO_LIM_1</t>
  </si>
  <si>
    <t>MSG_LO_LIM_2</t>
  </si>
  <si>
    <t>MSG_NUM_DEC_PLC_1</t>
  </si>
  <si>
    <t>MSG_NUM_DEC_PLC_2</t>
  </si>
  <si>
    <t>PROMPT_MSG_MAIN</t>
  </si>
  <si>
    <t>PROMPT_MSG_TYPE</t>
  </si>
  <si>
    <t>N_MESSAGETYPE</t>
  </si>
  <si>
    <t>DEVICE_SETUP</t>
  </si>
  <si>
    <t>PRESSURE_ZERO</t>
  </si>
  <si>
    <t>TOTALIZER</t>
  </si>
  <si>
    <t>UNIT_SCALE</t>
  </si>
  <si>
    <t>TARE_ZERO_TMOUT</t>
  </si>
  <si>
    <t>PERM_INTLK_CMD</t>
  </si>
  <si>
    <t>N_UNITSCALE</t>
  </si>
  <si>
    <t>N_DEVICESETUP</t>
  </si>
  <si>
    <t>N_VLVCOMMAND</t>
  </si>
  <si>
    <t>N_MODEAO</t>
  </si>
  <si>
    <t>N_MODEVSD</t>
  </si>
  <si>
    <t>N_TRANSITIONCOMMAND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</si>
</sst>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aig.bass\Desktop\Temp\WM-3724042-01-CS%20(PCS).xlsx" TargetMode="External"/><Relationship Id="rId1" Type="http://schemas.openxmlformats.org/officeDocument/2006/relationships/externalLinkPath" Target="file:///C:\Users\craig.bass\Desktop\Temp\WM-3724042-01-CS%20(PC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1. CM Parameters"/>
      <sheetName val="1. CM_AIn"/>
      <sheetName val="1. CM_AOut"/>
      <sheetName val="1. CM_DIn"/>
      <sheetName val="1. CM_DOut"/>
      <sheetName val="1. CM_VSD"/>
      <sheetName val="1. CM_Motor"/>
      <sheetName val="1. CM_ValveSO"/>
      <sheetName val="1. CM_PIDE"/>
      <sheetName val="1. CM_Intlk"/>
      <sheetName val="2. VALVE EM Indices"/>
      <sheetName val="3. EM Class"/>
      <sheetName val="4. Phase Class"/>
      <sheetName val="FLOW Phase Parameters"/>
      <sheetName val="6. Unit Class"/>
      <sheetName val="7. Recipe&amp;Formulas"/>
      <sheetName val="8. Named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DF02-8186-4114-BF65-DCEB67EC54F6}">
  <dimension ref="A1:G19"/>
  <sheetViews>
    <sheetView tabSelected="1" workbookViewId="0">
      <selection activeCell="C23" sqref="C23"/>
    </sheetView>
  </sheetViews>
  <sheetFormatPr defaultRowHeight="15" x14ac:dyDescent="0.25"/>
  <cols>
    <col min="1" max="1" width="28.28515625" bestFit="1" customWidth="1"/>
    <col min="2" max="2" width="28.140625" bestFit="1" customWidth="1"/>
    <col min="3" max="3" width="34.7109375" customWidth="1"/>
    <col min="4" max="4" width="40.28515625" customWidth="1"/>
    <col min="5" max="5" width="9.140625" customWidth="1"/>
    <col min="7" max="7" width="17" bestFit="1" customWidth="1"/>
  </cols>
  <sheetData>
    <row r="1" spans="1:7" x14ac:dyDescent="0.25">
      <c r="A1" t="s">
        <v>95</v>
      </c>
      <c r="B1" t="s">
        <v>0</v>
      </c>
      <c r="C1" t="s">
        <v>1</v>
      </c>
      <c r="D1" t="s">
        <v>2</v>
      </c>
      <c r="E1" t="s">
        <v>120</v>
      </c>
      <c r="F1" t="s">
        <v>102</v>
      </c>
      <c r="G1" t="s">
        <v>122</v>
      </c>
    </row>
    <row r="2" spans="1:7" x14ac:dyDescent="0.25">
      <c r="A2" t="s">
        <v>123</v>
      </c>
      <c r="B2" t="str">
        <f>_xlfn.CONCAT("ANA_", A2)</f>
        <v>ANA_CALC_OPTION</v>
      </c>
      <c r="C2" t="str">
        <f>_xlfn.CONCAT("PROC_", B2)</f>
        <v>PROC_ANA_CALC_OPTION</v>
      </c>
      <c r="D2" t="str">
        <f>_xlfn.CONCAT("LNPP_", C2)</f>
        <v>LNPP_PROC_ANA_CALC_OPTION</v>
      </c>
      <c r="E2">
        <f>LEN(D2)</f>
        <v>25</v>
      </c>
      <c r="F2" t="s">
        <v>105</v>
      </c>
    </row>
    <row r="3" spans="1:7" x14ac:dyDescent="0.25">
      <c r="A3" t="s">
        <v>127</v>
      </c>
      <c r="B3" t="str">
        <f t="shared" ref="B3:B19" si="0">_xlfn.CONCAT("ANA_", A3)</f>
        <v>ANA_COL_VOLUME</v>
      </c>
      <c r="C3" t="str">
        <f t="shared" ref="C3:C19" si="1">_xlfn.CONCAT("PROC_", B3)</f>
        <v>PROC_ANA_COL_VOLUME</v>
      </c>
      <c r="D3" t="str">
        <f t="shared" ref="D3:D19" si="2">_xlfn.CONCAT("LNPP_", C3)</f>
        <v>LNPP_PROC_ANA_COL_VOLUME</v>
      </c>
      <c r="E3">
        <f t="shared" ref="E3:E19" si="3">LEN(D3)</f>
        <v>24</v>
      </c>
      <c r="F3" t="s">
        <v>103</v>
      </c>
    </row>
    <row r="4" spans="1:7" x14ac:dyDescent="0.25">
      <c r="A4" s="2" t="s">
        <v>13</v>
      </c>
      <c r="B4" s="1"/>
      <c r="C4" s="1"/>
      <c r="D4" s="1"/>
      <c r="E4">
        <f t="shared" si="3"/>
        <v>0</v>
      </c>
      <c r="F4" t="s">
        <v>104</v>
      </c>
      <c r="G4" t="s">
        <v>107</v>
      </c>
    </row>
    <row r="5" spans="1:7" x14ac:dyDescent="0.25">
      <c r="A5" s="2" t="s">
        <v>110</v>
      </c>
      <c r="B5" s="1"/>
      <c r="C5" s="1"/>
      <c r="D5" s="1"/>
      <c r="E5">
        <f t="shared" si="3"/>
        <v>0</v>
      </c>
      <c r="F5" t="s">
        <v>104</v>
      </c>
      <c r="G5" t="s">
        <v>108</v>
      </c>
    </row>
    <row r="6" spans="1:7" x14ac:dyDescent="0.25">
      <c r="A6" t="s">
        <v>111</v>
      </c>
      <c r="B6" s="1" t="str">
        <f t="shared" si="0"/>
        <v>ANA_EQUIPMENT_SETUP</v>
      </c>
      <c r="C6" s="1" t="str">
        <f t="shared" si="1"/>
        <v>PROC_ANA_EQUIPMENT_SETUP</v>
      </c>
      <c r="D6" s="1" t="str">
        <f t="shared" si="2"/>
        <v>LNPP_PROC_ANA_EQUIPMENT_SETUP</v>
      </c>
      <c r="E6">
        <f t="shared" si="3"/>
        <v>29</v>
      </c>
      <c r="F6" t="s">
        <v>105</v>
      </c>
    </row>
    <row r="7" spans="1:7" x14ac:dyDescent="0.25">
      <c r="A7" t="s">
        <v>112</v>
      </c>
      <c r="B7" s="1" t="str">
        <f t="shared" si="0"/>
        <v>ANA_FLOW_RATE</v>
      </c>
      <c r="C7" s="1" t="str">
        <f t="shared" si="1"/>
        <v>PROC_ANA_FLOW_RATE</v>
      </c>
      <c r="D7" s="1" t="str">
        <f t="shared" si="2"/>
        <v>LNPP_PROC_ANA_FLOW_RATE</v>
      </c>
      <c r="E7">
        <f t="shared" si="3"/>
        <v>23</v>
      </c>
      <c r="F7" t="s">
        <v>103</v>
      </c>
    </row>
    <row r="8" spans="1:7" x14ac:dyDescent="0.25">
      <c r="A8" t="s">
        <v>113</v>
      </c>
      <c r="B8" s="1" t="str">
        <f t="shared" si="0"/>
        <v>ANA_MAST_METHOD_ID</v>
      </c>
      <c r="C8" s="1" t="str">
        <f t="shared" si="1"/>
        <v>PROC_ANA_MAST_METHOD_ID</v>
      </c>
      <c r="D8" s="1" t="str">
        <f t="shared" si="2"/>
        <v>LNPP_PROC_ANA_MAST_METHOD_ID</v>
      </c>
      <c r="E8">
        <f t="shared" si="3"/>
        <v>28</v>
      </c>
      <c r="F8" t="s">
        <v>105</v>
      </c>
    </row>
    <row r="9" spans="1:7" x14ac:dyDescent="0.25">
      <c r="A9" t="s">
        <v>126</v>
      </c>
      <c r="B9" s="1" t="str">
        <f t="shared" si="0"/>
        <v>ANA_MAST_PILOT_NUM</v>
      </c>
      <c r="C9" s="1" t="str">
        <f t="shared" si="1"/>
        <v>PROC_ANA_MAST_PILOT_NUM</v>
      </c>
      <c r="D9" s="1" t="str">
        <f t="shared" si="2"/>
        <v>LNPP_PROC_ANA_MAST_PILOT_NUM</v>
      </c>
      <c r="E9">
        <f t="shared" si="3"/>
        <v>28</v>
      </c>
      <c r="F9" t="s">
        <v>105</v>
      </c>
    </row>
    <row r="10" spans="1:7" x14ac:dyDescent="0.25">
      <c r="A10" t="s">
        <v>114</v>
      </c>
      <c r="B10" s="1" t="str">
        <f t="shared" si="0"/>
        <v>ANA_MAX_LOADING</v>
      </c>
      <c r="C10" s="1" t="str">
        <f t="shared" si="1"/>
        <v>PROC_ANA_MAX_LOADING</v>
      </c>
      <c r="D10" s="1" t="str">
        <f t="shared" si="2"/>
        <v>LNPP_PROC_ANA_MAX_LOADING</v>
      </c>
      <c r="E10">
        <f t="shared" si="3"/>
        <v>25</v>
      </c>
      <c r="F10" t="s">
        <v>103</v>
      </c>
    </row>
    <row r="11" spans="1:7" x14ac:dyDescent="0.25">
      <c r="A11" t="s">
        <v>115</v>
      </c>
      <c r="B11" s="1" t="str">
        <f t="shared" si="0"/>
        <v>ANA_MEMBRANE_AREA</v>
      </c>
      <c r="C11" s="1" t="str">
        <f t="shared" si="1"/>
        <v>PROC_ANA_MEMBRANE_AREA</v>
      </c>
      <c r="D11" s="1" t="str">
        <f>_xlfn.CONCAT("LNPP_", C11)</f>
        <v>LNPP_PROC_ANA_MEMBRANE_AREA</v>
      </c>
      <c r="E11">
        <f t="shared" si="3"/>
        <v>27</v>
      </c>
      <c r="F11" t="s">
        <v>103</v>
      </c>
    </row>
    <row r="12" spans="1:7" x14ac:dyDescent="0.25">
      <c r="A12" t="s">
        <v>116</v>
      </c>
      <c r="B12" s="1" t="str">
        <f t="shared" si="0"/>
        <v>ANA_MIN_LOADING</v>
      </c>
      <c r="C12" s="1" t="str">
        <f t="shared" si="1"/>
        <v>PROC_ANA_MIN_LOADING</v>
      </c>
      <c r="D12" s="1" t="str">
        <f t="shared" si="2"/>
        <v>LNPP_PROC_ANA_MIN_LOADING</v>
      </c>
      <c r="E12">
        <f t="shared" si="3"/>
        <v>25</v>
      </c>
      <c r="F12" t="s">
        <v>103</v>
      </c>
    </row>
    <row r="13" spans="1:7" x14ac:dyDescent="0.25">
      <c r="A13" s="2" t="s">
        <v>71</v>
      </c>
      <c r="B13" s="1"/>
      <c r="C13" s="1"/>
      <c r="D13" s="1"/>
      <c r="E13">
        <f t="shared" si="3"/>
        <v>0</v>
      </c>
      <c r="F13" t="s">
        <v>104</v>
      </c>
      <c r="G13" t="s">
        <v>109</v>
      </c>
    </row>
    <row r="14" spans="1:7" x14ac:dyDescent="0.25">
      <c r="A14" t="s">
        <v>117</v>
      </c>
      <c r="B14" s="1" t="str">
        <f t="shared" si="0"/>
        <v>ANA_SAMPLE_DEVICE</v>
      </c>
      <c r="C14" s="1" t="str">
        <f t="shared" si="1"/>
        <v>PROC_ANA_SAMPLE_DEVICE</v>
      </c>
      <c r="D14" s="1" t="str">
        <f t="shared" si="2"/>
        <v>LNPP_PROC_ANA_SAMPLE_DEVICE</v>
      </c>
      <c r="E14">
        <f t="shared" si="3"/>
        <v>27</v>
      </c>
      <c r="F14" t="s">
        <v>105</v>
      </c>
    </row>
    <row r="15" spans="1:7" x14ac:dyDescent="0.25">
      <c r="A15" s="2" t="s">
        <v>72</v>
      </c>
      <c r="B15" s="1"/>
      <c r="C15" s="1"/>
      <c r="D15" s="1"/>
      <c r="E15">
        <f t="shared" si="3"/>
        <v>0</v>
      </c>
      <c r="F15" t="s">
        <v>104</v>
      </c>
      <c r="G15" t="s">
        <v>107</v>
      </c>
    </row>
    <row r="16" spans="1:7" x14ac:dyDescent="0.25">
      <c r="A16" t="s">
        <v>124</v>
      </c>
      <c r="B16" s="1" t="str">
        <f t="shared" si="0"/>
        <v>ANA_TARGET_CONC</v>
      </c>
      <c r="C16" s="1" t="str">
        <f t="shared" si="1"/>
        <v>PROC_ANA_TARGET_CONC</v>
      </c>
      <c r="D16" s="1" t="str">
        <f t="shared" si="2"/>
        <v>LNPP_PROC_ANA_TARGET_CONC</v>
      </c>
      <c r="E16">
        <f t="shared" si="3"/>
        <v>25</v>
      </c>
      <c r="F16" t="s">
        <v>103</v>
      </c>
    </row>
    <row r="17" spans="1:6" x14ac:dyDescent="0.25">
      <c r="A17" t="s">
        <v>118</v>
      </c>
      <c r="B17" s="1" t="str">
        <f t="shared" si="0"/>
        <v>ANA_TIME_OUT_SEC</v>
      </c>
      <c r="C17" s="1" t="str">
        <f t="shared" si="1"/>
        <v>PROC_ANA_TIME_OUT_SEC</v>
      </c>
      <c r="D17" s="1" t="str">
        <f t="shared" si="2"/>
        <v>LNPP_PROC_ANA_TIME_OUT_SEC</v>
      </c>
      <c r="E17">
        <f t="shared" si="3"/>
        <v>26</v>
      </c>
      <c r="F17" t="s">
        <v>105</v>
      </c>
    </row>
    <row r="18" spans="1:6" x14ac:dyDescent="0.25">
      <c r="A18" t="s">
        <v>119</v>
      </c>
      <c r="B18" s="1" t="str">
        <f t="shared" si="0"/>
        <v>ANA_UNIT_BATCH_ID</v>
      </c>
      <c r="C18" s="1" t="str">
        <f t="shared" si="1"/>
        <v>PROC_ANA_UNIT_BATCH_ID</v>
      </c>
      <c r="D18" s="1" t="str">
        <f t="shared" si="2"/>
        <v>LNPP_PROC_ANA_UNIT_BATCH_ID</v>
      </c>
      <c r="E18">
        <f t="shared" si="3"/>
        <v>27</v>
      </c>
      <c r="F18" t="s">
        <v>121</v>
      </c>
    </row>
    <row r="19" spans="1:6" x14ac:dyDescent="0.25">
      <c r="A19" t="s">
        <v>125</v>
      </c>
      <c r="B19" s="1" t="str">
        <f t="shared" si="0"/>
        <v>ANA_UNIT_CONVERSION</v>
      </c>
      <c r="C19" s="1" t="str">
        <f t="shared" si="1"/>
        <v>PROC_ANA_UNIT_CONVERSION</v>
      </c>
      <c r="D19" s="1" t="str">
        <f t="shared" si="2"/>
        <v>LNPP_PROC_ANA_UNIT_CONVERSION</v>
      </c>
      <c r="E19">
        <f t="shared" si="3"/>
        <v>29</v>
      </c>
      <c r="F19" t="s">
        <v>105</v>
      </c>
    </row>
  </sheetData>
  <conditionalFormatting sqref="E1">
    <cfRule type="cellIs" dxfId="9" priority="2" operator="greaterThan">
      <formula>34</formula>
    </cfRule>
  </conditionalFormatting>
  <conditionalFormatting sqref="E2:E19">
    <cfRule type="cellIs" dxfId="8" priority="1" operator="greaterThan">
      <formula>34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B493-85AC-4B35-A0DA-04CAB134B234}">
  <dimension ref="A1:G20"/>
  <sheetViews>
    <sheetView workbookViewId="0">
      <selection activeCell="B12" sqref="B12"/>
    </sheetView>
  </sheetViews>
  <sheetFormatPr defaultRowHeight="15" x14ac:dyDescent="0.25"/>
  <cols>
    <col min="1" max="1" width="24" customWidth="1"/>
    <col min="2" max="2" width="28.140625" bestFit="1" customWidth="1"/>
    <col min="3" max="3" width="34.7109375" customWidth="1"/>
    <col min="4" max="4" width="40.28515625" customWidth="1"/>
    <col min="5" max="5" width="9.140625" customWidth="1"/>
    <col min="7" max="7" width="17" bestFit="1" customWidth="1"/>
  </cols>
  <sheetData>
    <row r="1" spans="1:7" x14ac:dyDescent="0.25">
      <c r="A1" t="s">
        <v>95</v>
      </c>
      <c r="B1" t="s">
        <v>0</v>
      </c>
      <c r="C1" t="s">
        <v>1</v>
      </c>
      <c r="D1" t="s">
        <v>2</v>
      </c>
      <c r="E1" t="s">
        <v>120</v>
      </c>
      <c r="F1" t="s">
        <v>102</v>
      </c>
      <c r="G1" t="s">
        <v>122</v>
      </c>
    </row>
    <row r="2" spans="1:7" x14ac:dyDescent="0.25">
      <c r="A2" s="1" t="s">
        <v>143</v>
      </c>
      <c r="B2" s="1" t="str">
        <f>_xlfn.CONCAT("AQREL_", A2)</f>
        <v>AQREL_DEVICE_SETUP</v>
      </c>
      <c r="C2" s="1" t="str">
        <f>_xlfn.CONCAT("SETUP_", B2)</f>
        <v>SETUP_AQREL_DEVICE_SETUP</v>
      </c>
      <c r="D2" s="1" t="str">
        <f>_xlfn.CONCAT("LNPP_", C2)</f>
        <v>LNPP_SETUP_AQREL_DEVICE_SETUP</v>
      </c>
      <c r="E2">
        <f>LEN(D2)</f>
        <v>29</v>
      </c>
      <c r="F2" t="s">
        <v>104</v>
      </c>
      <c r="G2" t="s">
        <v>150</v>
      </c>
    </row>
    <row r="3" spans="1:7" x14ac:dyDescent="0.25">
      <c r="A3" s="2" t="s">
        <v>13</v>
      </c>
      <c r="B3" s="1"/>
      <c r="C3" s="1"/>
      <c r="D3" s="1"/>
      <c r="E3">
        <f t="shared" ref="E3:E19" si="0">LEN(D3)</f>
        <v>0</v>
      </c>
      <c r="F3" t="s">
        <v>104</v>
      </c>
      <c r="G3" t="s">
        <v>107</v>
      </c>
    </row>
    <row r="4" spans="1:7" x14ac:dyDescent="0.25">
      <c r="A4" s="2" t="s">
        <v>16</v>
      </c>
      <c r="B4" s="1"/>
      <c r="C4" s="1"/>
      <c r="D4" s="1"/>
      <c r="E4">
        <f t="shared" si="0"/>
        <v>0</v>
      </c>
      <c r="F4" t="s">
        <v>104</v>
      </c>
      <c r="G4" t="s">
        <v>108</v>
      </c>
    </row>
    <row r="5" spans="1:7" x14ac:dyDescent="0.25">
      <c r="A5" s="1" t="s">
        <v>148</v>
      </c>
      <c r="B5" s="1" t="str">
        <f t="shared" ref="B3:B12" si="1">_xlfn.CONCAT("AQREL_", A5)</f>
        <v>AQREL_PERM_INTLK_CMD</v>
      </c>
      <c r="C5" s="1" t="str">
        <f t="shared" ref="C3:C12" si="2">_xlfn.CONCAT("SETUP_", B5)</f>
        <v>SETUP_AQREL_PERM_INTLK_CMD</v>
      </c>
      <c r="D5" s="1" t="str">
        <f t="shared" ref="D3:D12" si="3">_xlfn.CONCAT("LNPP_", C5)</f>
        <v>LNPP_SETUP_AQREL_PERM_INTLK_CMD</v>
      </c>
      <c r="E5">
        <f t="shared" si="0"/>
        <v>31</v>
      </c>
      <c r="F5" t="s">
        <v>104</v>
      </c>
      <c r="G5" t="s">
        <v>106</v>
      </c>
    </row>
    <row r="6" spans="1:7" x14ac:dyDescent="0.25">
      <c r="A6" s="1" t="s">
        <v>144</v>
      </c>
      <c r="B6" s="1" t="str">
        <f t="shared" si="1"/>
        <v>AQREL_PRESSURE_ZERO</v>
      </c>
      <c r="C6" s="1" t="str">
        <f t="shared" si="2"/>
        <v>SETUP_AQREL_PRESSURE_ZERO</v>
      </c>
      <c r="D6" s="1" t="str">
        <f t="shared" si="3"/>
        <v>LNPP_SETUP_AQREL_PRESSURE_ZERO</v>
      </c>
      <c r="E6">
        <f t="shared" si="0"/>
        <v>30</v>
      </c>
      <c r="F6" t="s">
        <v>105</v>
      </c>
    </row>
    <row r="7" spans="1:7" x14ac:dyDescent="0.25">
      <c r="A7" s="2" t="s">
        <v>71</v>
      </c>
      <c r="B7" s="1"/>
      <c r="C7" s="1"/>
      <c r="D7" s="1"/>
      <c r="E7">
        <f t="shared" si="0"/>
        <v>0</v>
      </c>
      <c r="F7" t="s">
        <v>104</v>
      </c>
      <c r="G7" t="s">
        <v>109</v>
      </c>
    </row>
    <row r="8" spans="1:7" x14ac:dyDescent="0.25">
      <c r="A8" s="2" t="s">
        <v>72</v>
      </c>
      <c r="B8" s="1"/>
      <c r="C8" s="1"/>
      <c r="D8" s="1"/>
      <c r="E8">
        <f t="shared" si="0"/>
        <v>0</v>
      </c>
      <c r="F8" t="s">
        <v>104</v>
      </c>
      <c r="G8" t="s">
        <v>107</v>
      </c>
    </row>
    <row r="9" spans="1:7" x14ac:dyDescent="0.25">
      <c r="A9" s="2" t="s">
        <v>74</v>
      </c>
      <c r="B9" s="1"/>
      <c r="C9" s="1"/>
      <c r="D9" s="1"/>
      <c r="E9">
        <f t="shared" si="0"/>
        <v>0</v>
      </c>
      <c r="F9" t="s">
        <v>105</v>
      </c>
    </row>
    <row r="10" spans="1:7" x14ac:dyDescent="0.25">
      <c r="A10" s="1" t="s">
        <v>147</v>
      </c>
      <c r="B10" s="1" t="str">
        <f t="shared" si="1"/>
        <v>AQREL_TARE_ZERO_TMOUT</v>
      </c>
      <c r="C10" s="1" t="str">
        <f t="shared" si="2"/>
        <v>SETUP_AQREL_TARE_ZERO_TMOUT</v>
      </c>
      <c r="D10" s="1" t="str">
        <f t="shared" si="3"/>
        <v>LNPP_SETUP_AQREL_TARE_ZERO_TMOUT</v>
      </c>
      <c r="E10">
        <f t="shared" si="0"/>
        <v>32</v>
      </c>
      <c r="F10" t="s">
        <v>105</v>
      </c>
    </row>
    <row r="11" spans="1:7" x14ac:dyDescent="0.25">
      <c r="A11" s="1" t="s">
        <v>145</v>
      </c>
      <c r="B11" s="1" t="str">
        <f t="shared" si="1"/>
        <v>AQREL_TOTALIZER</v>
      </c>
      <c r="C11" s="1" t="str">
        <f t="shared" si="2"/>
        <v>SETUP_AQREL_TOTALIZER</v>
      </c>
      <c r="D11" s="1" t="str">
        <f t="shared" si="3"/>
        <v>LNPP_SETUP_AQREL_TOTALIZER</v>
      </c>
      <c r="E11">
        <f t="shared" si="0"/>
        <v>26</v>
      </c>
      <c r="F11" t="s">
        <v>104</v>
      </c>
      <c r="G11" t="s">
        <v>107</v>
      </c>
    </row>
    <row r="12" spans="1:7" x14ac:dyDescent="0.25">
      <c r="A12" s="1" t="s">
        <v>146</v>
      </c>
      <c r="B12" s="1" t="str">
        <f t="shared" si="1"/>
        <v>AQREL_UNIT_SCALE</v>
      </c>
      <c r="C12" s="1" t="str">
        <f t="shared" si="2"/>
        <v>SETUP_AQREL_UNIT_SCALE</v>
      </c>
      <c r="D12" s="1" t="str">
        <f t="shared" si="3"/>
        <v>LNPP_SETUP_AQREL_UNIT_SCALE</v>
      </c>
      <c r="E12">
        <f t="shared" si="0"/>
        <v>27</v>
      </c>
      <c r="F12" t="s">
        <v>104</v>
      </c>
      <c r="G12" t="s">
        <v>149</v>
      </c>
    </row>
    <row r="13" spans="1:7" x14ac:dyDescent="0.25">
      <c r="A13" s="1"/>
      <c r="B13" s="1"/>
      <c r="C13" s="1"/>
      <c r="D13" s="1"/>
    </row>
    <row r="14" spans="1:7" x14ac:dyDescent="0.25">
      <c r="A14" s="1"/>
      <c r="B14" s="1"/>
      <c r="C14" s="1"/>
      <c r="D14" s="1"/>
    </row>
    <row r="15" spans="1:7" x14ac:dyDescent="0.25">
      <c r="A15" s="1"/>
      <c r="B15" s="1"/>
      <c r="C15" s="1"/>
      <c r="D15" s="1"/>
    </row>
    <row r="16" spans="1:7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</sheetData>
  <conditionalFormatting sqref="E1">
    <cfRule type="cellIs" dxfId="7" priority="2" operator="greaterThan">
      <formula>34</formula>
    </cfRule>
  </conditionalFormatting>
  <conditionalFormatting sqref="E2:E19">
    <cfRule type="cellIs" dxfId="6" priority="1" operator="greaterThan">
      <formula>34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B8EE-1431-434E-9865-5E98D2E760E8}">
  <dimension ref="A1:G78"/>
  <sheetViews>
    <sheetView workbookViewId="0">
      <selection activeCell="C65" sqref="C65"/>
    </sheetView>
  </sheetViews>
  <sheetFormatPr defaultRowHeight="15" x14ac:dyDescent="0.25"/>
  <cols>
    <col min="1" max="1" width="30.140625" bestFit="1" customWidth="1"/>
    <col min="2" max="2" width="35.85546875" bestFit="1" customWidth="1"/>
    <col min="3" max="3" width="41.85546875" bestFit="1" customWidth="1"/>
    <col min="4" max="4" width="46.5703125" customWidth="1"/>
    <col min="5" max="5" width="9.140625" customWidth="1"/>
    <col min="7" max="7" width="17" bestFit="1" customWidth="1"/>
  </cols>
  <sheetData>
    <row r="1" spans="1:7" x14ac:dyDescent="0.25">
      <c r="A1" t="s">
        <v>95</v>
      </c>
      <c r="B1" t="s">
        <v>0</v>
      </c>
      <c r="C1" t="s">
        <v>1</v>
      </c>
      <c r="D1" t="s">
        <v>2</v>
      </c>
      <c r="E1" t="s">
        <v>120</v>
      </c>
      <c r="F1" t="s">
        <v>102</v>
      </c>
      <c r="G1" t="s">
        <v>122</v>
      </c>
    </row>
    <row r="2" spans="1:7" x14ac:dyDescent="0.25">
      <c r="A2" t="s">
        <v>3</v>
      </c>
      <c r="B2" t="str">
        <f t="shared" ref="B2:B33" si="0">_xlfn.CONCAT("FLW1_", A2)</f>
        <v>FLW1_COLLECT_VLV_CMD_01</v>
      </c>
      <c r="C2" t="str">
        <f t="shared" ref="C2:C33" si="1">_xlfn.CONCAT("PROC_", B2)</f>
        <v>PROC_FLW1_COLLECT_VLV_CMD_01</v>
      </c>
      <c r="D2" t="str">
        <f t="shared" ref="D2:D33" si="2">_xlfn.CONCAT("LNP_", C2)</f>
        <v>LNP_PROC_FLW1_COLLECT_VLV_CMD_01</v>
      </c>
      <c r="E2">
        <f>LEN(D2)</f>
        <v>32</v>
      </c>
      <c r="F2" t="s">
        <v>104</v>
      </c>
      <c r="G2" t="s">
        <v>151</v>
      </c>
    </row>
    <row r="3" spans="1:7" x14ac:dyDescent="0.25">
      <c r="A3" t="s">
        <v>4</v>
      </c>
      <c r="B3" t="str">
        <f t="shared" si="0"/>
        <v>FLW1_COLLECT_VLV_CMD_02</v>
      </c>
      <c r="C3" t="str">
        <f t="shared" si="1"/>
        <v>PROC_FLW1_COLLECT_VLV_CMD_02</v>
      </c>
      <c r="D3" t="str">
        <f t="shared" si="2"/>
        <v>LNP_PROC_FLW1_COLLECT_VLV_CMD_02</v>
      </c>
      <c r="E3">
        <f t="shared" ref="E3:E66" si="3">LEN(D3)</f>
        <v>32</v>
      </c>
      <c r="F3" t="s">
        <v>104</v>
      </c>
      <c r="G3" t="s">
        <v>151</v>
      </c>
    </row>
    <row r="4" spans="1:7" x14ac:dyDescent="0.25">
      <c r="A4" t="s">
        <v>5</v>
      </c>
      <c r="B4" s="1" t="str">
        <f t="shared" si="0"/>
        <v>FLW1_COLLECT_VLV_CMD_03</v>
      </c>
      <c r="C4" s="1" t="str">
        <f t="shared" si="1"/>
        <v>PROC_FLW1_COLLECT_VLV_CMD_03</v>
      </c>
      <c r="D4" s="1" t="str">
        <f t="shared" si="2"/>
        <v>LNP_PROC_FLW1_COLLECT_VLV_CMD_03</v>
      </c>
      <c r="E4">
        <f t="shared" si="3"/>
        <v>32</v>
      </c>
      <c r="F4" t="s">
        <v>104</v>
      </c>
      <c r="G4" t="s">
        <v>151</v>
      </c>
    </row>
    <row r="5" spans="1:7" x14ac:dyDescent="0.25">
      <c r="A5" t="s">
        <v>6</v>
      </c>
      <c r="B5" s="1" t="str">
        <f t="shared" si="0"/>
        <v>FLW1_COLLECT_VLV_CMD_04</v>
      </c>
      <c r="C5" s="1" t="str">
        <f t="shared" si="1"/>
        <v>PROC_FLW1_COLLECT_VLV_CMD_04</v>
      </c>
      <c r="D5" s="1" t="str">
        <f t="shared" si="2"/>
        <v>LNP_PROC_FLW1_COLLECT_VLV_CMD_04</v>
      </c>
      <c r="E5">
        <f t="shared" si="3"/>
        <v>32</v>
      </c>
      <c r="F5" t="s">
        <v>104</v>
      </c>
      <c r="G5" t="s">
        <v>151</v>
      </c>
    </row>
    <row r="6" spans="1:7" x14ac:dyDescent="0.25">
      <c r="A6" t="s">
        <v>7</v>
      </c>
      <c r="B6" s="1" t="str">
        <f t="shared" si="0"/>
        <v>FLW1_CTRL_VLV_CTRL_MODE</v>
      </c>
      <c r="C6" s="1" t="str">
        <f t="shared" si="1"/>
        <v>PROC_FLW1_CTRL_VLV_CTRL_MODE</v>
      </c>
      <c r="D6" s="1" t="str">
        <f t="shared" si="2"/>
        <v>LNP_PROC_FLW1_CTRL_VLV_CTRL_MODE</v>
      </c>
      <c r="E6">
        <f t="shared" si="3"/>
        <v>32</v>
      </c>
      <c r="F6" t="s">
        <v>104</v>
      </c>
      <c r="G6" t="s">
        <v>152</v>
      </c>
    </row>
    <row r="7" spans="1:7" x14ac:dyDescent="0.25">
      <c r="A7" t="s">
        <v>8</v>
      </c>
      <c r="B7" s="1" t="str">
        <f t="shared" si="0"/>
        <v>FLW1_CTRL_VLV_CTRL_SP</v>
      </c>
      <c r="C7" s="1" t="str">
        <f t="shared" si="1"/>
        <v>PROC_FLW1_CTRL_VLV_CTRL_SP</v>
      </c>
      <c r="D7" s="1" t="str">
        <f t="shared" si="2"/>
        <v>LNP_PROC_FLW1_CTRL_VLV_CTRL_SP</v>
      </c>
      <c r="E7">
        <f t="shared" si="3"/>
        <v>30</v>
      </c>
      <c r="F7" t="s">
        <v>103</v>
      </c>
    </row>
    <row r="8" spans="1:7" x14ac:dyDescent="0.25">
      <c r="A8" t="s">
        <v>9</v>
      </c>
      <c r="B8" s="1" t="str">
        <f t="shared" si="0"/>
        <v>FLW1_CTRL_VLV_INIT_TMR</v>
      </c>
      <c r="C8" s="1" t="str">
        <f t="shared" si="1"/>
        <v>PROC_FLW1_CTRL_VLV_INIT_TMR</v>
      </c>
      <c r="D8" s="1" t="str">
        <f t="shared" si="2"/>
        <v>LNP_PROC_FLW1_CTRL_VLV_INIT_TMR</v>
      </c>
      <c r="E8">
        <f t="shared" si="3"/>
        <v>31</v>
      </c>
      <c r="F8" t="s">
        <v>105</v>
      </c>
    </row>
    <row r="9" spans="1:7" x14ac:dyDescent="0.25">
      <c r="A9" t="s">
        <v>10</v>
      </c>
      <c r="B9" s="1" t="str">
        <f t="shared" si="0"/>
        <v>FLW1_CTRL_VLV_OUTPUT_SP</v>
      </c>
      <c r="C9" s="1" t="str">
        <f t="shared" si="1"/>
        <v>PROC_FLW1_CTRL_VLV_OUTPUT_SP</v>
      </c>
      <c r="D9" s="1" t="str">
        <f t="shared" si="2"/>
        <v>LNP_PROC_FLW1_CTRL_VLV_OUTPUT_SP</v>
      </c>
      <c r="E9">
        <f t="shared" si="3"/>
        <v>32</v>
      </c>
      <c r="F9" t="s">
        <v>103</v>
      </c>
    </row>
    <row r="10" spans="1:7" x14ac:dyDescent="0.25">
      <c r="A10" t="s">
        <v>11</v>
      </c>
      <c r="B10" s="1" t="str">
        <f t="shared" si="0"/>
        <v>FLW1_CTRL_VLV_SP_DB</v>
      </c>
      <c r="C10" s="1" t="str">
        <f t="shared" si="1"/>
        <v>PROC_FLW1_CTRL_VLV_SP_DB</v>
      </c>
      <c r="D10" s="1" t="str">
        <f t="shared" si="2"/>
        <v>LNP_PROC_FLW1_CTRL_VLV_SP_DB</v>
      </c>
      <c r="E10">
        <f t="shared" si="3"/>
        <v>28</v>
      </c>
      <c r="F10" t="s">
        <v>103</v>
      </c>
    </row>
    <row r="11" spans="1:7" x14ac:dyDescent="0.25">
      <c r="A11" t="s">
        <v>12</v>
      </c>
      <c r="B11" s="1" t="str">
        <f t="shared" si="0"/>
        <v>FLW1_CTRL_VLV_STATE_CMD</v>
      </c>
      <c r="C11" s="1" t="str">
        <f t="shared" si="1"/>
        <v>PROC_FLW1_CTRL_VLV_STATE_CMD</v>
      </c>
      <c r="D11" s="1" t="str">
        <f t="shared" si="2"/>
        <v>LNP_PROC_FLW1_CTRL_VLV_STATE_CMD</v>
      </c>
      <c r="E11">
        <f t="shared" si="3"/>
        <v>32</v>
      </c>
      <c r="F11" t="s">
        <v>104</v>
      </c>
      <c r="G11" t="s">
        <v>151</v>
      </c>
    </row>
    <row r="12" spans="1:7" x14ac:dyDescent="0.25">
      <c r="A12" s="2" t="s">
        <v>13</v>
      </c>
      <c r="B12" s="1"/>
      <c r="C12" s="1"/>
      <c r="D12" s="1"/>
      <c r="E12">
        <f t="shared" si="3"/>
        <v>0</v>
      </c>
      <c r="F12" t="s">
        <v>104</v>
      </c>
      <c r="G12" t="s">
        <v>107</v>
      </c>
    </row>
    <row r="13" spans="1:7" x14ac:dyDescent="0.25">
      <c r="A13" t="s">
        <v>14</v>
      </c>
      <c r="B13" s="1" t="str">
        <f t="shared" si="0"/>
        <v>FLW1_END_XFER_PERCENTAGE</v>
      </c>
      <c r="C13" s="1" t="str">
        <f t="shared" si="1"/>
        <v>PROC_FLW1_END_XFER_PERCENTAGE</v>
      </c>
      <c r="D13" s="1" t="str">
        <f t="shared" si="2"/>
        <v>LNP_PROC_FLW1_END_XFER_PERCENTAGE</v>
      </c>
      <c r="E13">
        <f t="shared" si="3"/>
        <v>33</v>
      </c>
      <c r="F13" t="s">
        <v>105</v>
      </c>
    </row>
    <row r="14" spans="1:7" x14ac:dyDescent="0.25">
      <c r="A14" t="s">
        <v>15</v>
      </c>
      <c r="B14" s="1" t="str">
        <f t="shared" si="0"/>
        <v>FLW1_END_XFER_TYPE</v>
      </c>
      <c r="C14" s="1" t="str">
        <f t="shared" si="1"/>
        <v>PROC_FLW1_END_XFER_TYPE</v>
      </c>
      <c r="D14" s="1" t="str">
        <f t="shared" si="2"/>
        <v>LNP_PROC_FLW1_END_XFER_TYPE</v>
      </c>
      <c r="E14">
        <f t="shared" si="3"/>
        <v>27</v>
      </c>
      <c r="F14" t="s">
        <v>104</v>
      </c>
      <c r="G14" t="s">
        <v>108</v>
      </c>
    </row>
    <row r="15" spans="1:7" x14ac:dyDescent="0.25">
      <c r="A15" s="2" t="s">
        <v>16</v>
      </c>
      <c r="B15" s="1"/>
      <c r="C15" s="1"/>
      <c r="D15" s="1"/>
      <c r="E15">
        <f t="shared" si="3"/>
        <v>0</v>
      </c>
      <c r="F15" t="s">
        <v>104</v>
      </c>
      <c r="G15" t="s">
        <v>108</v>
      </c>
    </row>
    <row r="16" spans="1:7" x14ac:dyDescent="0.25">
      <c r="A16" t="s">
        <v>17</v>
      </c>
      <c r="B16" s="1" t="str">
        <f t="shared" si="0"/>
        <v>FLW1_END_VLV_CMD_01</v>
      </c>
      <c r="C16" s="1" t="str">
        <f t="shared" si="1"/>
        <v>PROC_FLW1_END_VLV_CMD_01</v>
      </c>
      <c r="D16" s="1" t="str">
        <f t="shared" si="2"/>
        <v>LNP_PROC_FLW1_END_VLV_CMD_01</v>
      </c>
      <c r="E16">
        <f t="shared" si="3"/>
        <v>28</v>
      </c>
      <c r="F16" t="s">
        <v>104</v>
      </c>
      <c r="G16" t="s">
        <v>151</v>
      </c>
    </row>
    <row r="17" spans="1:7" x14ac:dyDescent="0.25">
      <c r="A17" t="s">
        <v>18</v>
      </c>
      <c r="B17" s="1" t="str">
        <f t="shared" si="0"/>
        <v>FLW1_END_VLV_CMD_02</v>
      </c>
      <c r="C17" s="1" t="str">
        <f t="shared" si="1"/>
        <v>PROC_FLW1_END_VLV_CMD_02</v>
      </c>
      <c r="D17" s="1" t="str">
        <f t="shared" si="2"/>
        <v>LNP_PROC_FLW1_END_VLV_CMD_02</v>
      </c>
      <c r="E17">
        <f t="shared" si="3"/>
        <v>28</v>
      </c>
      <c r="F17" t="s">
        <v>104</v>
      </c>
      <c r="G17" t="s">
        <v>151</v>
      </c>
    </row>
    <row r="18" spans="1:7" x14ac:dyDescent="0.25">
      <c r="A18" t="s">
        <v>19</v>
      </c>
      <c r="B18" s="1" t="str">
        <f t="shared" si="0"/>
        <v>FLW1_END_VLV_CMD_03</v>
      </c>
      <c r="C18" s="1" t="str">
        <f t="shared" si="1"/>
        <v>PROC_FLW1_END_VLV_CMD_03</v>
      </c>
      <c r="D18" s="1" t="str">
        <f t="shared" si="2"/>
        <v>LNP_PROC_FLW1_END_VLV_CMD_03</v>
      </c>
      <c r="E18">
        <f t="shared" si="3"/>
        <v>28</v>
      </c>
      <c r="F18" t="s">
        <v>104</v>
      </c>
      <c r="G18" t="s">
        <v>151</v>
      </c>
    </row>
    <row r="19" spans="1:7" x14ac:dyDescent="0.25">
      <c r="A19" t="s">
        <v>20</v>
      </c>
      <c r="B19" s="1" t="str">
        <f t="shared" si="0"/>
        <v>FLW1_END_VLV_CMD_04</v>
      </c>
      <c r="C19" s="1" t="str">
        <f t="shared" si="1"/>
        <v>PROC_FLW1_END_VLV_CMD_04</v>
      </c>
      <c r="D19" s="1" t="str">
        <f t="shared" si="2"/>
        <v>LNP_PROC_FLW1_END_VLV_CMD_04</v>
      </c>
      <c r="E19">
        <f t="shared" si="3"/>
        <v>28</v>
      </c>
      <c r="F19" t="s">
        <v>104</v>
      </c>
      <c r="G19" t="s">
        <v>151</v>
      </c>
    </row>
    <row r="20" spans="1:7" x14ac:dyDescent="0.25">
      <c r="A20" t="s">
        <v>21</v>
      </c>
      <c r="B20" s="1" t="str">
        <f t="shared" si="0"/>
        <v>FLW1_END_VLV_CMD_05</v>
      </c>
      <c r="C20" s="1" t="str">
        <f t="shared" si="1"/>
        <v>PROC_FLW1_END_VLV_CMD_05</v>
      </c>
      <c r="D20" s="1" t="str">
        <f t="shared" si="2"/>
        <v>LNP_PROC_FLW1_END_VLV_CMD_05</v>
      </c>
      <c r="E20">
        <f t="shared" si="3"/>
        <v>28</v>
      </c>
      <c r="F20" t="s">
        <v>104</v>
      </c>
      <c r="G20" t="s">
        <v>151</v>
      </c>
    </row>
    <row r="21" spans="1:7" x14ac:dyDescent="0.25">
      <c r="A21" t="s">
        <v>22</v>
      </c>
      <c r="B21" s="1" t="str">
        <f t="shared" si="0"/>
        <v>FLW1_END_VLV_CMD_06</v>
      </c>
      <c r="C21" s="1" t="str">
        <f t="shared" si="1"/>
        <v>PROC_FLW1_END_VLV_CMD_06</v>
      </c>
      <c r="D21" s="1" t="str">
        <f t="shared" si="2"/>
        <v>LNP_PROC_FLW1_END_VLV_CMD_06</v>
      </c>
      <c r="E21">
        <f t="shared" si="3"/>
        <v>28</v>
      </c>
      <c r="F21" t="s">
        <v>104</v>
      </c>
      <c r="G21" t="s">
        <v>151</v>
      </c>
    </row>
    <row r="22" spans="1:7" x14ac:dyDescent="0.25">
      <c r="A22" t="s">
        <v>23</v>
      </c>
      <c r="B22" s="1" t="str">
        <f t="shared" si="0"/>
        <v>FLW1_FLOW_HI_ALM_DB</v>
      </c>
      <c r="C22" s="1" t="str">
        <f t="shared" si="1"/>
        <v>PROC_FLW1_FLOW_HI_ALM_DB</v>
      </c>
      <c r="D22" s="1" t="str">
        <f t="shared" si="2"/>
        <v>LNP_PROC_FLW1_FLOW_HI_ALM_DB</v>
      </c>
      <c r="E22">
        <f t="shared" si="3"/>
        <v>28</v>
      </c>
      <c r="F22" t="s">
        <v>103</v>
      </c>
    </row>
    <row r="23" spans="1:7" x14ac:dyDescent="0.25">
      <c r="A23" t="s">
        <v>24</v>
      </c>
      <c r="B23" s="1" t="str">
        <f t="shared" si="0"/>
        <v>FLW1_FLOW_HIHI_ALM_DB</v>
      </c>
      <c r="C23" s="1" t="str">
        <f t="shared" si="1"/>
        <v>PROC_FLW1_FLOW_HIHI_ALM_DB</v>
      </c>
      <c r="D23" s="1" t="str">
        <f t="shared" si="2"/>
        <v>LNP_PROC_FLW1_FLOW_HIHI_ALM_DB</v>
      </c>
      <c r="E23">
        <f t="shared" si="3"/>
        <v>30</v>
      </c>
      <c r="F23" t="s">
        <v>103</v>
      </c>
    </row>
    <row r="24" spans="1:7" x14ac:dyDescent="0.25">
      <c r="A24" t="s">
        <v>25</v>
      </c>
      <c r="B24" s="1" t="str">
        <f t="shared" si="0"/>
        <v>FLW1_FLOW_LO_ALM_DB</v>
      </c>
      <c r="C24" s="1" t="str">
        <f t="shared" si="1"/>
        <v>PROC_FLW1_FLOW_LO_ALM_DB</v>
      </c>
      <c r="D24" s="1" t="str">
        <f t="shared" si="2"/>
        <v>LNP_PROC_FLW1_FLOW_LO_ALM_DB</v>
      </c>
      <c r="E24">
        <f t="shared" si="3"/>
        <v>28</v>
      </c>
      <c r="F24" t="s">
        <v>103</v>
      </c>
    </row>
    <row r="25" spans="1:7" x14ac:dyDescent="0.25">
      <c r="A25" t="s">
        <v>26</v>
      </c>
      <c r="B25" s="1" t="str">
        <f t="shared" si="0"/>
        <v>FLW1_FLOW_LOLO_ALM_DB</v>
      </c>
      <c r="C25" s="1" t="str">
        <f t="shared" si="1"/>
        <v>PROC_FLW1_FLOW_LOLO_ALM_DB</v>
      </c>
      <c r="D25" s="1" t="str">
        <f t="shared" si="2"/>
        <v>LNP_PROC_FLW1_FLOW_LOLO_ALM_DB</v>
      </c>
      <c r="E25">
        <f t="shared" si="3"/>
        <v>30</v>
      </c>
      <c r="F25" t="s">
        <v>103</v>
      </c>
    </row>
    <row r="26" spans="1:7" x14ac:dyDescent="0.25">
      <c r="A26" t="s">
        <v>27</v>
      </c>
      <c r="B26" s="1" t="str">
        <f t="shared" si="0"/>
        <v>FLW1_FLOW_MAX_STABLE_TMR</v>
      </c>
      <c r="C26" s="1" t="str">
        <f t="shared" si="1"/>
        <v>PROC_FLW1_FLOW_MAX_STABLE_TMR</v>
      </c>
      <c r="D26" s="1" t="str">
        <f t="shared" si="2"/>
        <v>LNP_PROC_FLW1_FLOW_MAX_STABLE_TMR</v>
      </c>
      <c r="E26">
        <f t="shared" si="3"/>
        <v>33</v>
      </c>
      <c r="F26" t="s">
        <v>105</v>
      </c>
    </row>
    <row r="27" spans="1:7" x14ac:dyDescent="0.25">
      <c r="A27" t="s">
        <v>28</v>
      </c>
      <c r="B27" s="1" t="str">
        <f t="shared" si="0"/>
        <v>FLW1_FLOW_SP_DB</v>
      </c>
      <c r="C27" s="1" t="str">
        <f t="shared" si="1"/>
        <v>PROC_FLW1_FLOW_SP_DB</v>
      </c>
      <c r="D27" s="1" t="str">
        <f t="shared" si="2"/>
        <v>LNP_PROC_FLW1_FLOW_SP_DB</v>
      </c>
      <c r="E27">
        <f t="shared" si="3"/>
        <v>24</v>
      </c>
      <c r="F27" t="s">
        <v>103</v>
      </c>
    </row>
    <row r="28" spans="1:7" x14ac:dyDescent="0.25">
      <c r="A28" t="s">
        <v>29</v>
      </c>
      <c r="B28" s="1" t="str">
        <f t="shared" si="0"/>
        <v>FLW1_FLOW_STABLE_TMR</v>
      </c>
      <c r="C28" s="1" t="str">
        <f t="shared" si="1"/>
        <v>PROC_FLW1_FLOW_STABLE_TMR</v>
      </c>
      <c r="D28" s="1" t="str">
        <f t="shared" si="2"/>
        <v>LNP_PROC_FLW1_FLOW_STABLE_TMR</v>
      </c>
      <c r="E28">
        <f t="shared" si="3"/>
        <v>29</v>
      </c>
      <c r="F28" t="s">
        <v>105</v>
      </c>
    </row>
    <row r="29" spans="1:7" x14ac:dyDescent="0.25">
      <c r="A29" t="s">
        <v>30</v>
      </c>
      <c r="B29" s="1" t="str">
        <f t="shared" si="0"/>
        <v>FLW1_FLOW_ZERO_DEVICE</v>
      </c>
      <c r="C29" s="1" t="str">
        <f t="shared" si="1"/>
        <v>PROC_FLW1_FLOW_ZERO_DEVICE</v>
      </c>
      <c r="D29" s="1" t="str">
        <f t="shared" si="2"/>
        <v>LNP_PROC_FLW1_FLOW_ZERO_DEVICE</v>
      </c>
      <c r="E29">
        <f t="shared" si="3"/>
        <v>30</v>
      </c>
      <c r="F29" t="s">
        <v>104</v>
      </c>
      <c r="G29" t="s">
        <v>107</v>
      </c>
    </row>
    <row r="30" spans="1:7" x14ac:dyDescent="0.25">
      <c r="A30" t="s">
        <v>31</v>
      </c>
      <c r="B30" s="1" t="str">
        <f t="shared" si="0"/>
        <v>FLW1_HOLD_UP_VOLUME</v>
      </c>
      <c r="C30" s="1" t="str">
        <f t="shared" si="1"/>
        <v>PROC_FLW1_HOLD_UP_VOLUME</v>
      </c>
      <c r="D30" s="1" t="str">
        <f t="shared" si="2"/>
        <v>LNP_PROC_FLW1_HOLD_UP_VOLUME</v>
      </c>
      <c r="E30">
        <f t="shared" si="3"/>
        <v>28</v>
      </c>
      <c r="F30" t="s">
        <v>103</v>
      </c>
    </row>
    <row r="31" spans="1:7" x14ac:dyDescent="0.25">
      <c r="A31" t="s">
        <v>32</v>
      </c>
      <c r="B31" s="1" t="str">
        <f t="shared" si="0"/>
        <v>FLW1_MON_STATE_CMD</v>
      </c>
      <c r="C31" s="1" t="str">
        <f t="shared" si="1"/>
        <v>PROC_FLW1_MON_STATE_CMD</v>
      </c>
      <c r="D31" s="1" t="str">
        <f t="shared" si="2"/>
        <v>LNP_PROC_FLW1_MON_STATE_CMD</v>
      </c>
      <c r="E31">
        <f t="shared" si="3"/>
        <v>27</v>
      </c>
      <c r="F31" t="s">
        <v>104</v>
      </c>
      <c r="G31" t="s">
        <v>106</v>
      </c>
    </row>
    <row r="32" spans="1:7" x14ac:dyDescent="0.25">
      <c r="A32" t="s">
        <v>33</v>
      </c>
      <c r="B32" s="1" t="str">
        <f t="shared" si="0"/>
        <v>FLW1_MON_TRANS_DELAY_TIME</v>
      </c>
      <c r="C32" s="1" t="str">
        <f t="shared" si="1"/>
        <v>PROC_FLW1_MON_TRANS_DELAY_TIME</v>
      </c>
      <c r="D32" s="1" t="str">
        <f t="shared" si="2"/>
        <v>LNP_PROC_FLW1_MON_TRANS_DELAY_TIME</v>
      </c>
      <c r="E32">
        <f t="shared" si="3"/>
        <v>34</v>
      </c>
      <c r="F32" t="s">
        <v>105</v>
      </c>
    </row>
    <row r="33" spans="1:7" x14ac:dyDescent="0.25">
      <c r="A33" t="s">
        <v>34</v>
      </c>
      <c r="B33" s="1" t="str">
        <f t="shared" si="0"/>
        <v>FLW1_MON_WT_DEV</v>
      </c>
      <c r="C33" s="1" t="str">
        <f t="shared" si="1"/>
        <v>PROC_FLW1_MON_WT_DEV</v>
      </c>
      <c r="D33" s="1" t="str">
        <f t="shared" si="2"/>
        <v>LNP_PROC_FLW1_MON_WT_DEV</v>
      </c>
      <c r="E33">
        <f t="shared" si="3"/>
        <v>24</v>
      </c>
      <c r="F33" t="s">
        <v>103</v>
      </c>
    </row>
    <row r="34" spans="1:7" x14ac:dyDescent="0.25">
      <c r="A34" t="s">
        <v>35</v>
      </c>
      <c r="B34" s="1" t="str">
        <f t="shared" ref="B34:B65" si="4">_xlfn.CONCAT("FLW1_", A34)</f>
        <v>FLW1_MON_WT_DEV_ENBL</v>
      </c>
      <c r="C34" s="1" t="str">
        <f t="shared" ref="C34:C65" si="5">_xlfn.CONCAT("PROC_", B34)</f>
        <v>PROC_FLW1_MON_WT_DEV_ENBL</v>
      </c>
      <c r="D34" s="1" t="str">
        <f t="shared" ref="D34:D65" si="6">_xlfn.CONCAT("LNP_", C34)</f>
        <v>LNP_PROC_FLW1_MON_WT_DEV_ENBL</v>
      </c>
      <c r="E34">
        <f t="shared" si="3"/>
        <v>29</v>
      </c>
      <c r="F34" t="s">
        <v>104</v>
      </c>
      <c r="G34" t="s">
        <v>107</v>
      </c>
    </row>
    <row r="35" spans="1:7" x14ac:dyDescent="0.25">
      <c r="A35" t="s">
        <v>36</v>
      </c>
      <c r="B35" s="1" t="str">
        <f t="shared" si="4"/>
        <v>FLW1_MON_WT_NO_CHNG_ENBL</v>
      </c>
      <c r="C35" s="1" t="str">
        <f t="shared" si="5"/>
        <v>PROC_FLW1_MON_WT_NO_CHNG_ENBL</v>
      </c>
      <c r="D35" s="1" t="str">
        <f t="shared" si="6"/>
        <v>LNP_PROC_FLW1_MON_WT_NO_CHNG_ENBL</v>
      </c>
      <c r="E35">
        <f t="shared" si="3"/>
        <v>33</v>
      </c>
      <c r="F35" t="s">
        <v>104</v>
      </c>
      <c r="G35" t="s">
        <v>107</v>
      </c>
    </row>
    <row r="36" spans="1:7" x14ac:dyDescent="0.25">
      <c r="A36" t="s">
        <v>37</v>
      </c>
      <c r="B36" s="1" t="str">
        <f t="shared" si="4"/>
        <v>FLW1_MON_WT_SP</v>
      </c>
      <c r="C36" s="1" t="str">
        <f t="shared" si="5"/>
        <v>PROC_FLW1_MON_WT_SP</v>
      </c>
      <c r="D36" s="1" t="str">
        <f t="shared" si="6"/>
        <v>LNP_PROC_FLW1_MON_WT_SP</v>
      </c>
      <c r="E36">
        <f t="shared" si="3"/>
        <v>23</v>
      </c>
      <c r="F36" t="s">
        <v>103</v>
      </c>
    </row>
    <row r="37" spans="1:7" x14ac:dyDescent="0.25">
      <c r="A37" t="s">
        <v>38</v>
      </c>
      <c r="B37" s="1" t="str">
        <f t="shared" si="4"/>
        <v>FLW1_MON_WT_SP_ENBL</v>
      </c>
      <c r="C37" s="1" t="str">
        <f t="shared" si="5"/>
        <v>PROC_FLW1_MON_WT_SP_ENBL</v>
      </c>
      <c r="D37" s="1" t="str">
        <f t="shared" si="6"/>
        <v>LNP_PROC_FLW1_MON_WT_SP_ENBL</v>
      </c>
      <c r="E37">
        <f t="shared" si="3"/>
        <v>28</v>
      </c>
      <c r="F37" t="s">
        <v>104</v>
      </c>
      <c r="G37" t="s">
        <v>107</v>
      </c>
    </row>
    <row r="38" spans="1:7" x14ac:dyDescent="0.25">
      <c r="A38" t="s">
        <v>39</v>
      </c>
      <c r="B38" s="1" t="str">
        <f t="shared" si="4"/>
        <v>FLW1_PRIME_CTRL_MODE</v>
      </c>
      <c r="C38" s="1" t="str">
        <f t="shared" si="5"/>
        <v>PROC_FLW1_PRIME_CTRL_MODE</v>
      </c>
      <c r="D38" s="1" t="str">
        <f t="shared" si="6"/>
        <v>LNP_PROC_FLW1_PRIME_CTRL_MODE</v>
      </c>
      <c r="E38">
        <f t="shared" si="3"/>
        <v>29</v>
      </c>
      <c r="F38" t="s">
        <v>104</v>
      </c>
      <c r="G38" t="s">
        <v>153</v>
      </c>
    </row>
    <row r="39" spans="1:7" x14ac:dyDescent="0.25">
      <c r="A39" t="s">
        <v>40</v>
      </c>
      <c r="B39" s="1" t="str">
        <f t="shared" si="4"/>
        <v>FLW1_PRIME_CTRL_SP</v>
      </c>
      <c r="C39" s="1" t="str">
        <f t="shared" si="5"/>
        <v>PROC_FLW1_PRIME_CTRL_SP</v>
      </c>
      <c r="D39" s="1" t="str">
        <f t="shared" si="6"/>
        <v>LNP_PROC_FLW1_PRIME_CTRL_SP</v>
      </c>
      <c r="E39">
        <f t="shared" si="3"/>
        <v>27</v>
      </c>
      <c r="F39" t="s">
        <v>103</v>
      </c>
    </row>
    <row r="40" spans="1:7" x14ac:dyDescent="0.25">
      <c r="A40" t="s">
        <v>41</v>
      </c>
      <c r="B40" s="1" t="str">
        <f t="shared" si="4"/>
        <v>FLW1_PRIME_SPEED_SP</v>
      </c>
      <c r="C40" s="1" t="str">
        <f t="shared" si="5"/>
        <v>PROC_FLW1_PRIME_SPEED_SP</v>
      </c>
      <c r="D40" s="1" t="str">
        <f t="shared" si="6"/>
        <v>LNP_PROC_FLW1_PRIME_SPEED_SP</v>
      </c>
      <c r="E40">
        <f t="shared" si="3"/>
        <v>28</v>
      </c>
      <c r="F40" t="s">
        <v>103</v>
      </c>
    </row>
    <row r="41" spans="1:7" x14ac:dyDescent="0.25">
      <c r="A41" t="s">
        <v>42</v>
      </c>
      <c r="B41" s="1" t="str">
        <f t="shared" si="4"/>
        <v>FLW1_PRIME_STATE_CMD_01</v>
      </c>
      <c r="C41" s="1" t="str">
        <f t="shared" si="5"/>
        <v>PROC_FLW1_PRIME_STATE_CMD_01</v>
      </c>
      <c r="D41" s="1" t="str">
        <f t="shared" si="6"/>
        <v>LNP_PROC_FLW1_PRIME_STATE_CMD_01</v>
      </c>
      <c r="E41">
        <f t="shared" si="3"/>
        <v>32</v>
      </c>
      <c r="F41" t="s">
        <v>104</v>
      </c>
      <c r="G41" t="s">
        <v>106</v>
      </c>
    </row>
    <row r="42" spans="1:7" x14ac:dyDescent="0.25">
      <c r="A42" t="s">
        <v>43</v>
      </c>
      <c r="B42" s="1" t="str">
        <f t="shared" si="4"/>
        <v>FLW1_PRIME_STATE_CMD_02</v>
      </c>
      <c r="C42" s="1" t="str">
        <f t="shared" si="5"/>
        <v>PROC_FLW1_PRIME_STATE_CMD_02</v>
      </c>
      <c r="D42" s="1" t="str">
        <f t="shared" si="6"/>
        <v>LNP_PROC_FLW1_PRIME_STATE_CMD_02</v>
      </c>
      <c r="E42">
        <f t="shared" si="3"/>
        <v>32</v>
      </c>
      <c r="F42" t="s">
        <v>104</v>
      </c>
      <c r="G42" t="s">
        <v>106</v>
      </c>
    </row>
    <row r="43" spans="1:7" x14ac:dyDescent="0.25">
      <c r="A43" t="s">
        <v>44</v>
      </c>
      <c r="B43" s="1" t="str">
        <f t="shared" si="4"/>
        <v>FLW1_PRIME_STATE_CMD_03</v>
      </c>
      <c r="C43" s="1" t="str">
        <f t="shared" si="5"/>
        <v>PROC_FLW1_PRIME_STATE_CMD_03</v>
      </c>
      <c r="D43" s="1" t="str">
        <f t="shared" si="6"/>
        <v>LNP_PROC_FLW1_PRIME_STATE_CMD_03</v>
      </c>
      <c r="E43">
        <f t="shared" si="3"/>
        <v>32</v>
      </c>
      <c r="F43" t="s">
        <v>104</v>
      </c>
      <c r="G43" t="s">
        <v>106</v>
      </c>
    </row>
    <row r="44" spans="1:7" x14ac:dyDescent="0.25">
      <c r="A44" t="s">
        <v>45</v>
      </c>
      <c r="B44" s="1" t="str">
        <f t="shared" si="4"/>
        <v>FLW1_PRIME_STATE_CMD_04</v>
      </c>
      <c r="C44" s="1" t="str">
        <f t="shared" si="5"/>
        <v>PROC_FLW1_PRIME_STATE_CMD_04</v>
      </c>
      <c r="D44" s="1" t="str">
        <f t="shared" si="6"/>
        <v>LNP_PROC_FLW1_PRIME_STATE_CMD_04</v>
      </c>
      <c r="E44">
        <f t="shared" si="3"/>
        <v>32</v>
      </c>
      <c r="F44" t="s">
        <v>104</v>
      </c>
      <c r="G44" t="s">
        <v>106</v>
      </c>
    </row>
    <row r="45" spans="1:7" x14ac:dyDescent="0.25">
      <c r="A45" t="s">
        <v>46</v>
      </c>
      <c r="B45" s="1" t="str">
        <f t="shared" si="4"/>
        <v>FLW1_PRIME_TRANS_DLY_TIME</v>
      </c>
      <c r="C45" s="1" t="str">
        <f t="shared" si="5"/>
        <v>PROC_FLW1_PRIME_TRANS_DLY_TIME</v>
      </c>
      <c r="D45" s="1" t="str">
        <f t="shared" si="6"/>
        <v>LNP_PROC_FLW1_PRIME_TRANS_DLY_TIME</v>
      </c>
      <c r="E45">
        <f t="shared" si="3"/>
        <v>34</v>
      </c>
      <c r="F45" t="s">
        <v>105</v>
      </c>
    </row>
    <row r="46" spans="1:7" x14ac:dyDescent="0.25">
      <c r="A46" t="s">
        <v>47</v>
      </c>
      <c r="B46" s="1" t="str">
        <f t="shared" si="4"/>
        <v>FLW1_PRIME_TRANS_SP</v>
      </c>
      <c r="C46" s="1" t="str">
        <f t="shared" si="5"/>
        <v>PROC_FLW1_PRIME_TRANS_SP</v>
      </c>
      <c r="D46" s="1" t="str">
        <f t="shared" si="6"/>
        <v>LNP_PROC_FLW1_PRIME_TRANS_SP</v>
      </c>
      <c r="E46">
        <f t="shared" si="3"/>
        <v>28</v>
      </c>
      <c r="F46" t="s">
        <v>103</v>
      </c>
    </row>
    <row r="47" spans="1:7" x14ac:dyDescent="0.25">
      <c r="A47" t="s">
        <v>48</v>
      </c>
      <c r="B47" s="1" t="str">
        <f t="shared" si="4"/>
        <v>FLW1_PRIME_TRANS_TYPE</v>
      </c>
      <c r="C47" s="1" t="str">
        <f t="shared" si="5"/>
        <v>PROC_FLW1_PRIME_TRANS_TYPE</v>
      </c>
      <c r="D47" s="1" t="str">
        <f t="shared" si="6"/>
        <v>LNP_PROC_FLW1_PRIME_TRANS_TYPE</v>
      </c>
      <c r="E47">
        <f t="shared" si="3"/>
        <v>30</v>
      </c>
      <c r="F47" t="s">
        <v>104</v>
      </c>
      <c r="G47" t="s">
        <v>154</v>
      </c>
    </row>
    <row r="48" spans="1:7" x14ac:dyDescent="0.25">
      <c r="A48" t="s">
        <v>49</v>
      </c>
      <c r="B48" s="1" t="str">
        <f t="shared" si="4"/>
        <v>FLW1_PRIME_VLV_CMD_05</v>
      </c>
      <c r="C48" s="1" t="str">
        <f t="shared" si="5"/>
        <v>PROC_FLW1_PRIME_VLV_CMD_05</v>
      </c>
      <c r="D48" s="1" t="str">
        <f t="shared" si="6"/>
        <v>LNP_PROC_FLW1_PRIME_VLV_CMD_05</v>
      </c>
      <c r="E48">
        <f t="shared" si="3"/>
        <v>30</v>
      </c>
      <c r="F48" t="s">
        <v>104</v>
      </c>
      <c r="G48" t="s">
        <v>151</v>
      </c>
    </row>
    <row r="49" spans="1:7" x14ac:dyDescent="0.25">
      <c r="A49" t="s">
        <v>50</v>
      </c>
      <c r="B49" s="1" t="str">
        <f t="shared" si="4"/>
        <v>FLW1_PRIME_VLV_CMD_06</v>
      </c>
      <c r="C49" s="1" t="str">
        <f t="shared" si="5"/>
        <v>PROC_FLW1_PRIME_VLV_CMD_06</v>
      </c>
      <c r="D49" s="1" t="str">
        <f t="shared" si="6"/>
        <v>LNP_PROC_FLW1_PRIME_VLV_CMD_06</v>
      </c>
      <c r="E49">
        <f t="shared" si="3"/>
        <v>30</v>
      </c>
      <c r="F49" t="s">
        <v>104</v>
      </c>
      <c r="G49" t="s">
        <v>151</v>
      </c>
    </row>
    <row r="50" spans="1:7" x14ac:dyDescent="0.25">
      <c r="A50" t="s">
        <v>51</v>
      </c>
      <c r="B50" s="1" t="str">
        <f t="shared" si="4"/>
        <v>FLW1_PUMP_CTRL_MODE_01</v>
      </c>
      <c r="C50" s="1" t="str">
        <f t="shared" si="5"/>
        <v>PROC_FLW1_PUMP_CTRL_MODE_01</v>
      </c>
      <c r="D50" s="1" t="str">
        <f t="shared" si="6"/>
        <v>LNP_PROC_FLW1_PUMP_CTRL_MODE_01</v>
      </c>
      <c r="E50">
        <f t="shared" si="3"/>
        <v>31</v>
      </c>
      <c r="F50" t="s">
        <v>104</v>
      </c>
      <c r="G50" t="s">
        <v>153</v>
      </c>
    </row>
    <row r="51" spans="1:7" x14ac:dyDescent="0.25">
      <c r="A51" t="s">
        <v>52</v>
      </c>
      <c r="B51" s="1" t="str">
        <f t="shared" si="4"/>
        <v>FLW1_PUMP_CTRL_MODE_02</v>
      </c>
      <c r="C51" s="1" t="str">
        <f t="shared" si="5"/>
        <v>PROC_FLW1_PUMP_CTRL_MODE_02</v>
      </c>
      <c r="D51" s="1" t="str">
        <f t="shared" si="6"/>
        <v>LNP_PROC_FLW1_PUMP_CTRL_MODE_02</v>
      </c>
      <c r="E51">
        <f t="shared" si="3"/>
        <v>31</v>
      </c>
      <c r="F51" t="s">
        <v>104</v>
      </c>
      <c r="G51" t="s">
        <v>153</v>
      </c>
    </row>
    <row r="52" spans="1:7" x14ac:dyDescent="0.25">
      <c r="A52" t="s">
        <v>53</v>
      </c>
      <c r="B52" s="1" t="str">
        <f t="shared" si="4"/>
        <v>FLW1_PUMP_CTRL_MODE_03</v>
      </c>
      <c r="C52" s="1" t="str">
        <f t="shared" si="5"/>
        <v>PROC_FLW1_PUMP_CTRL_MODE_03</v>
      </c>
      <c r="D52" s="1" t="str">
        <f t="shared" si="6"/>
        <v>LNP_PROC_FLW1_PUMP_CTRL_MODE_03</v>
      </c>
      <c r="E52">
        <f t="shared" si="3"/>
        <v>31</v>
      </c>
      <c r="F52" t="s">
        <v>104</v>
      </c>
      <c r="G52" t="s">
        <v>153</v>
      </c>
    </row>
    <row r="53" spans="1:7" x14ac:dyDescent="0.25">
      <c r="A53" t="s">
        <v>54</v>
      </c>
      <c r="B53" s="1" t="str">
        <f t="shared" si="4"/>
        <v>FLW1_PUMP_CTRL_MODE_04</v>
      </c>
      <c r="C53" s="1" t="str">
        <f t="shared" si="5"/>
        <v>PROC_FLW1_PUMP_CTRL_MODE_04</v>
      </c>
      <c r="D53" s="1" t="str">
        <f t="shared" si="6"/>
        <v>LNP_PROC_FLW1_PUMP_CTRL_MODE_04</v>
      </c>
      <c r="E53">
        <f t="shared" si="3"/>
        <v>31</v>
      </c>
      <c r="F53" t="s">
        <v>104</v>
      </c>
      <c r="G53" t="s">
        <v>153</v>
      </c>
    </row>
    <row r="54" spans="1:7" x14ac:dyDescent="0.25">
      <c r="A54" t="s">
        <v>55</v>
      </c>
      <c r="B54" s="1" t="str">
        <f t="shared" si="4"/>
        <v>FLW1_PUMP_CTRL_SP_01</v>
      </c>
      <c r="C54" s="1" t="str">
        <f t="shared" si="5"/>
        <v>PROC_FLW1_PUMP_CTRL_SP_01</v>
      </c>
      <c r="D54" s="1" t="str">
        <f t="shared" si="6"/>
        <v>LNP_PROC_FLW1_PUMP_CTRL_SP_01</v>
      </c>
      <c r="E54">
        <f t="shared" si="3"/>
        <v>29</v>
      </c>
      <c r="F54" t="s">
        <v>103</v>
      </c>
    </row>
    <row r="55" spans="1:7" x14ac:dyDescent="0.25">
      <c r="A55" t="s">
        <v>56</v>
      </c>
      <c r="B55" s="1" t="str">
        <f t="shared" si="4"/>
        <v>FLW1_PUMP_CTRL_SP_02</v>
      </c>
      <c r="C55" s="1" t="str">
        <f t="shared" si="5"/>
        <v>PROC_FLW1_PUMP_CTRL_SP_02</v>
      </c>
      <c r="D55" s="1" t="str">
        <f t="shared" si="6"/>
        <v>LNP_PROC_FLW1_PUMP_CTRL_SP_02</v>
      </c>
      <c r="E55">
        <f t="shared" si="3"/>
        <v>29</v>
      </c>
      <c r="F55" t="s">
        <v>103</v>
      </c>
    </row>
    <row r="56" spans="1:7" x14ac:dyDescent="0.25">
      <c r="A56" t="s">
        <v>57</v>
      </c>
      <c r="B56" s="1" t="str">
        <f t="shared" si="4"/>
        <v>FLW1_PUMP_CTRL_SP_03</v>
      </c>
      <c r="C56" s="1" t="str">
        <f t="shared" si="5"/>
        <v>PROC_FLW1_PUMP_CTRL_SP_03</v>
      </c>
      <c r="D56" s="1" t="str">
        <f t="shared" si="6"/>
        <v>LNP_PROC_FLW1_PUMP_CTRL_SP_03</v>
      </c>
      <c r="E56">
        <f t="shared" si="3"/>
        <v>29</v>
      </c>
      <c r="F56" t="s">
        <v>103</v>
      </c>
    </row>
    <row r="57" spans="1:7" x14ac:dyDescent="0.25">
      <c r="A57" t="s">
        <v>58</v>
      </c>
      <c r="B57" s="1" t="str">
        <f t="shared" si="4"/>
        <v>FLW1_PUMP_CTRL_SP_04</v>
      </c>
      <c r="C57" s="1" t="str">
        <f t="shared" si="5"/>
        <v>PROC_FLW1_PUMP_CTRL_SP_04</v>
      </c>
      <c r="D57" s="1" t="str">
        <f t="shared" si="6"/>
        <v>LNP_PROC_FLW1_PUMP_CTRL_SP_04</v>
      </c>
      <c r="E57">
        <f t="shared" si="3"/>
        <v>29</v>
      </c>
      <c r="F57" t="s">
        <v>103</v>
      </c>
    </row>
    <row r="58" spans="1:7" x14ac:dyDescent="0.25">
      <c r="A58" t="s">
        <v>59</v>
      </c>
      <c r="B58" s="1" t="str">
        <f t="shared" si="4"/>
        <v>FLW1_PUMP_SPEED_SP_01</v>
      </c>
      <c r="C58" s="1" t="str">
        <f t="shared" si="5"/>
        <v>PROC_FLW1_PUMP_SPEED_SP_01</v>
      </c>
      <c r="D58" s="1" t="str">
        <f t="shared" si="6"/>
        <v>LNP_PROC_FLW1_PUMP_SPEED_SP_01</v>
      </c>
      <c r="E58">
        <f t="shared" si="3"/>
        <v>30</v>
      </c>
      <c r="F58" t="s">
        <v>103</v>
      </c>
    </row>
    <row r="59" spans="1:7" x14ac:dyDescent="0.25">
      <c r="A59" t="s">
        <v>60</v>
      </c>
      <c r="B59" s="1" t="str">
        <f t="shared" si="4"/>
        <v>FLW1_PUMP_SPEED_SP_02</v>
      </c>
      <c r="C59" s="1" t="str">
        <f t="shared" si="5"/>
        <v>PROC_FLW1_PUMP_SPEED_SP_02</v>
      </c>
      <c r="D59" s="1" t="str">
        <f t="shared" si="6"/>
        <v>LNP_PROC_FLW1_PUMP_SPEED_SP_02</v>
      </c>
      <c r="E59">
        <f t="shared" si="3"/>
        <v>30</v>
      </c>
      <c r="F59" t="s">
        <v>103</v>
      </c>
    </row>
    <row r="60" spans="1:7" x14ac:dyDescent="0.25">
      <c r="A60" t="s">
        <v>61</v>
      </c>
      <c r="B60" s="1" t="str">
        <f t="shared" si="4"/>
        <v>FLW1_PUMP_SPEED_SP_03</v>
      </c>
      <c r="C60" s="1" t="str">
        <f t="shared" si="5"/>
        <v>PROC_FLW1_PUMP_SPEED_SP_03</v>
      </c>
      <c r="D60" s="1" t="str">
        <f t="shared" si="6"/>
        <v>LNP_PROC_FLW1_PUMP_SPEED_SP_03</v>
      </c>
      <c r="E60">
        <f t="shared" si="3"/>
        <v>30</v>
      </c>
      <c r="F60" t="s">
        <v>103</v>
      </c>
    </row>
    <row r="61" spans="1:7" x14ac:dyDescent="0.25">
      <c r="A61" t="s">
        <v>62</v>
      </c>
      <c r="B61" s="1" t="str">
        <f t="shared" si="4"/>
        <v>FLW1_PUMP_SPEED_SP_04</v>
      </c>
      <c r="C61" s="1" t="str">
        <f t="shared" si="5"/>
        <v>PROC_FLW1_PUMP_SPEED_SP_04</v>
      </c>
      <c r="D61" s="1" t="str">
        <f t="shared" si="6"/>
        <v>LNP_PROC_FLW1_PUMP_SPEED_SP_04</v>
      </c>
      <c r="E61">
        <f t="shared" si="3"/>
        <v>30</v>
      </c>
      <c r="F61" t="s">
        <v>103</v>
      </c>
    </row>
    <row r="62" spans="1:7" x14ac:dyDescent="0.25">
      <c r="A62" t="s">
        <v>63</v>
      </c>
      <c r="B62" s="1" t="str">
        <f t="shared" si="4"/>
        <v>FLW1_PUMP_STATE_CMD_01</v>
      </c>
      <c r="C62" s="1" t="str">
        <f t="shared" si="5"/>
        <v>PROC_FLW1_PUMP_STATE_CMD_01</v>
      </c>
      <c r="D62" s="1" t="str">
        <f t="shared" si="6"/>
        <v>LNP_PROC_FLW1_PUMP_STATE_CMD_01</v>
      </c>
      <c r="E62">
        <f t="shared" si="3"/>
        <v>31</v>
      </c>
      <c r="F62" t="s">
        <v>104</v>
      </c>
      <c r="G62" t="s">
        <v>106</v>
      </c>
    </row>
    <row r="63" spans="1:7" x14ac:dyDescent="0.25">
      <c r="A63" t="s">
        <v>64</v>
      </c>
      <c r="B63" s="1" t="str">
        <f t="shared" si="4"/>
        <v>FLW1_PUMP_STATE_CMD_02</v>
      </c>
      <c r="C63" s="1" t="str">
        <f t="shared" si="5"/>
        <v>PROC_FLW1_PUMP_STATE_CMD_02</v>
      </c>
      <c r="D63" s="1" t="str">
        <f t="shared" si="6"/>
        <v>LNP_PROC_FLW1_PUMP_STATE_CMD_02</v>
      </c>
      <c r="E63">
        <f t="shared" si="3"/>
        <v>31</v>
      </c>
      <c r="F63" t="s">
        <v>104</v>
      </c>
      <c r="G63" t="s">
        <v>106</v>
      </c>
    </row>
    <row r="64" spans="1:7" x14ac:dyDescent="0.25">
      <c r="A64" t="s">
        <v>65</v>
      </c>
      <c r="B64" s="1" t="str">
        <f t="shared" si="4"/>
        <v>FLW1_PUMP_STATE_CMD_03</v>
      </c>
      <c r="C64" s="1" t="str">
        <f t="shared" si="5"/>
        <v>PROC_FLW1_PUMP_STATE_CMD_03</v>
      </c>
      <c r="D64" s="1" t="str">
        <f t="shared" si="6"/>
        <v>LNP_PROC_FLW1_PUMP_STATE_CMD_03</v>
      </c>
      <c r="E64">
        <f t="shared" si="3"/>
        <v>31</v>
      </c>
      <c r="F64" t="s">
        <v>104</v>
      </c>
      <c r="G64" t="s">
        <v>106</v>
      </c>
    </row>
    <row r="65" spans="1:7" x14ac:dyDescent="0.25">
      <c r="A65" t="s">
        <v>66</v>
      </c>
      <c r="B65" s="1" t="str">
        <f t="shared" si="4"/>
        <v>FLW1_PUMP_STATE_CMD_04</v>
      </c>
      <c r="C65" s="1" t="str">
        <f t="shared" si="5"/>
        <v>PROC_FLW1_PUMP_STATE_CMD_04</v>
      </c>
      <c r="D65" s="1" t="str">
        <f t="shared" si="6"/>
        <v>LNP_PROC_FLW1_PUMP_STATE_CMD_04</v>
      </c>
      <c r="E65">
        <f t="shared" si="3"/>
        <v>31</v>
      </c>
      <c r="F65" t="s">
        <v>104</v>
      </c>
      <c r="G65" t="s">
        <v>106</v>
      </c>
    </row>
    <row r="66" spans="1:7" x14ac:dyDescent="0.25">
      <c r="A66" t="s">
        <v>67</v>
      </c>
      <c r="B66" s="1" t="str">
        <f t="shared" ref="B66:B97" si="7">_xlfn.CONCAT("FLW1_", A66)</f>
        <v>FLW1_PUMP_VLV_CMD_01</v>
      </c>
      <c r="C66" s="1" t="str">
        <f t="shared" ref="C66:C97" si="8">_xlfn.CONCAT("PROC_", B66)</f>
        <v>PROC_FLW1_PUMP_VLV_CMD_01</v>
      </c>
      <c r="D66" s="1" t="str">
        <f t="shared" ref="D66:D97" si="9">_xlfn.CONCAT("LNP_", C66)</f>
        <v>LNP_PROC_FLW1_PUMP_VLV_CMD_01</v>
      </c>
      <c r="E66">
        <f t="shared" si="3"/>
        <v>29</v>
      </c>
      <c r="F66" t="s">
        <v>104</v>
      </c>
      <c r="G66" t="s">
        <v>106</v>
      </c>
    </row>
    <row r="67" spans="1:7" x14ac:dyDescent="0.25">
      <c r="A67" t="s">
        <v>68</v>
      </c>
      <c r="B67" s="1" t="str">
        <f t="shared" si="7"/>
        <v>FLW1_PUMP_VLV_CMD_02</v>
      </c>
      <c r="C67" s="1" t="str">
        <f t="shared" si="8"/>
        <v>PROC_FLW1_PUMP_VLV_CMD_02</v>
      </c>
      <c r="D67" s="1" t="str">
        <f t="shared" si="9"/>
        <v>LNP_PROC_FLW1_PUMP_VLV_CMD_02</v>
      </c>
      <c r="E67">
        <f t="shared" ref="E67:E78" si="10">LEN(D67)</f>
        <v>29</v>
      </c>
      <c r="F67" t="s">
        <v>104</v>
      </c>
      <c r="G67" t="s">
        <v>106</v>
      </c>
    </row>
    <row r="68" spans="1:7" x14ac:dyDescent="0.25">
      <c r="A68" t="s">
        <v>69</v>
      </c>
      <c r="B68" s="1" t="str">
        <f t="shared" si="7"/>
        <v>FLW1_PUMP_VLV_CMD_03</v>
      </c>
      <c r="C68" s="1" t="str">
        <f t="shared" si="8"/>
        <v>PROC_FLW1_PUMP_VLV_CMD_03</v>
      </c>
      <c r="D68" s="1" t="str">
        <f t="shared" si="9"/>
        <v>LNP_PROC_FLW1_PUMP_VLV_CMD_03</v>
      </c>
      <c r="E68">
        <f t="shared" si="10"/>
        <v>29</v>
      </c>
      <c r="F68" t="s">
        <v>104</v>
      </c>
      <c r="G68" t="s">
        <v>106</v>
      </c>
    </row>
    <row r="69" spans="1:7" x14ac:dyDescent="0.25">
      <c r="A69" t="s">
        <v>70</v>
      </c>
      <c r="B69" s="1" t="str">
        <f t="shared" si="7"/>
        <v>FLW1_PUMP_VLV_CMD_04</v>
      </c>
      <c r="C69" s="1" t="str">
        <f t="shared" si="8"/>
        <v>PROC_FLW1_PUMP_VLV_CMD_04</v>
      </c>
      <c r="D69" s="1" t="str">
        <f t="shared" si="9"/>
        <v>LNP_PROC_FLW1_PUMP_VLV_CMD_04</v>
      </c>
      <c r="E69">
        <f t="shared" si="10"/>
        <v>29</v>
      </c>
      <c r="F69" t="s">
        <v>104</v>
      </c>
      <c r="G69" t="s">
        <v>106</v>
      </c>
    </row>
    <row r="70" spans="1:7" x14ac:dyDescent="0.25">
      <c r="A70" s="2" t="s">
        <v>71</v>
      </c>
      <c r="B70" s="1" t="str">
        <f t="shared" si="7"/>
        <v>FLW1_RESTART_TYPE</v>
      </c>
      <c r="C70" s="1" t="str">
        <f t="shared" si="8"/>
        <v>PROC_FLW1_RESTART_TYPE</v>
      </c>
      <c r="D70" s="1" t="str">
        <f t="shared" si="9"/>
        <v>LNP_PROC_FLW1_RESTART_TYPE</v>
      </c>
      <c r="E70">
        <f t="shared" si="10"/>
        <v>26</v>
      </c>
      <c r="F70" t="s">
        <v>104</v>
      </c>
      <c r="G70" t="s">
        <v>109</v>
      </c>
    </row>
    <row r="71" spans="1:7" x14ac:dyDescent="0.25">
      <c r="A71" s="2" t="s">
        <v>72</v>
      </c>
      <c r="B71" s="1" t="str">
        <f t="shared" si="7"/>
        <v>FLW1_START_PHASE_PROMPT</v>
      </c>
      <c r="C71" s="1" t="str">
        <f t="shared" si="8"/>
        <v>PROC_FLW1_START_PHASE_PROMPT</v>
      </c>
      <c r="D71" s="1" t="str">
        <f t="shared" si="9"/>
        <v>LNP_PROC_FLW1_START_PHASE_PROMPT</v>
      </c>
      <c r="E71">
        <f t="shared" si="10"/>
        <v>32</v>
      </c>
      <c r="F71" t="s">
        <v>104</v>
      </c>
      <c r="G71" t="s">
        <v>107</v>
      </c>
    </row>
    <row r="72" spans="1:7" x14ac:dyDescent="0.25">
      <c r="A72" t="s">
        <v>73</v>
      </c>
      <c r="B72" s="1" t="str">
        <f t="shared" si="7"/>
        <v>FLW1_START_TMR</v>
      </c>
      <c r="C72" s="1" t="str">
        <f t="shared" si="8"/>
        <v>PROC_FLW1_START_TMR</v>
      </c>
      <c r="D72" s="1" t="str">
        <f t="shared" si="9"/>
        <v>LNP_PROC_FLW1_START_TMR</v>
      </c>
      <c r="E72">
        <f t="shared" si="10"/>
        <v>23</v>
      </c>
      <c r="F72" t="s">
        <v>105</v>
      </c>
    </row>
    <row r="73" spans="1:7" x14ac:dyDescent="0.25">
      <c r="A73" s="2" t="s">
        <v>74</v>
      </c>
      <c r="B73" s="1" t="str">
        <f t="shared" si="7"/>
        <v>FLW1_SYNC</v>
      </c>
      <c r="C73" s="1" t="str">
        <f t="shared" si="8"/>
        <v>PROC_FLW1_SYNC</v>
      </c>
      <c r="D73" s="1" t="str">
        <f t="shared" si="9"/>
        <v>LNP_PROC_FLW1_SYNC</v>
      </c>
      <c r="E73">
        <f t="shared" si="10"/>
        <v>18</v>
      </c>
      <c r="F73" t="s">
        <v>105</v>
      </c>
    </row>
    <row r="74" spans="1:7" x14ac:dyDescent="0.25">
      <c r="A74" t="s">
        <v>75</v>
      </c>
      <c r="B74" t="str">
        <f t="shared" si="7"/>
        <v>FLW1_TOT_DEVICE</v>
      </c>
      <c r="C74" t="str">
        <f t="shared" si="8"/>
        <v>PROC_FLW1_TOT_DEVICE</v>
      </c>
      <c r="D74" t="str">
        <f t="shared" si="9"/>
        <v>LNP_PROC_FLW1_TOT_DEVICE</v>
      </c>
      <c r="E74">
        <f t="shared" si="10"/>
        <v>24</v>
      </c>
      <c r="F74" t="s">
        <v>104</v>
      </c>
      <c r="G74" t="s">
        <v>107</v>
      </c>
    </row>
    <row r="75" spans="1:7" x14ac:dyDescent="0.25">
      <c r="A75" t="s">
        <v>76</v>
      </c>
      <c r="B75" t="str">
        <f t="shared" si="7"/>
        <v>FLW1_WASTE_VLV_CMD_01</v>
      </c>
      <c r="C75" t="str">
        <f t="shared" si="8"/>
        <v>PROC_FLW1_WASTE_VLV_CMD_01</v>
      </c>
      <c r="D75" t="str">
        <f t="shared" si="9"/>
        <v>LNP_PROC_FLW1_WASTE_VLV_CMD_01</v>
      </c>
      <c r="E75">
        <f t="shared" si="10"/>
        <v>30</v>
      </c>
      <c r="F75" t="s">
        <v>104</v>
      </c>
      <c r="G75" t="s">
        <v>151</v>
      </c>
    </row>
    <row r="76" spans="1:7" x14ac:dyDescent="0.25">
      <c r="A76" t="s">
        <v>77</v>
      </c>
      <c r="B76" t="str">
        <f t="shared" si="7"/>
        <v>FLW1_WASTE_VLV_CMD_02</v>
      </c>
      <c r="C76" t="str">
        <f t="shared" si="8"/>
        <v>PROC_FLW1_WASTE_VLV_CMD_02</v>
      </c>
      <c r="D76" t="str">
        <f t="shared" si="9"/>
        <v>LNP_PROC_FLW1_WASTE_VLV_CMD_02</v>
      </c>
      <c r="E76">
        <f t="shared" si="10"/>
        <v>30</v>
      </c>
      <c r="F76" t="s">
        <v>104</v>
      </c>
      <c r="G76" t="s">
        <v>151</v>
      </c>
    </row>
    <row r="77" spans="1:7" x14ac:dyDescent="0.25">
      <c r="A77" t="s">
        <v>78</v>
      </c>
      <c r="B77" t="str">
        <f t="shared" si="7"/>
        <v>FLW1_WASTE_VLV_CMD_03</v>
      </c>
      <c r="C77" t="str">
        <f t="shared" si="8"/>
        <v>PROC_FLW1_WASTE_VLV_CMD_03</v>
      </c>
      <c r="D77" t="str">
        <f t="shared" si="9"/>
        <v>LNP_PROC_FLW1_WASTE_VLV_CMD_03</v>
      </c>
      <c r="E77">
        <f t="shared" si="10"/>
        <v>30</v>
      </c>
      <c r="F77" t="s">
        <v>104</v>
      </c>
      <c r="G77" t="s">
        <v>151</v>
      </c>
    </row>
    <row r="78" spans="1:7" x14ac:dyDescent="0.25">
      <c r="A78" t="s">
        <v>79</v>
      </c>
      <c r="B78" t="str">
        <f t="shared" si="7"/>
        <v>FLW1_WASTE_VLV_CMD_04</v>
      </c>
      <c r="C78" t="str">
        <f t="shared" si="8"/>
        <v>PROC_FLW1_WASTE_VLV_CMD_04</v>
      </c>
      <c r="D78" t="str">
        <f t="shared" si="9"/>
        <v>LNP_PROC_FLW1_WASTE_VLV_CMD_04</v>
      </c>
      <c r="E78">
        <f t="shared" si="10"/>
        <v>30</v>
      </c>
      <c r="F78" t="s">
        <v>104</v>
      </c>
      <c r="G78" t="s">
        <v>151</v>
      </c>
    </row>
  </sheetData>
  <conditionalFormatting sqref="E2:E1048576">
    <cfRule type="cellIs" dxfId="5" priority="2" operator="greaterThan">
      <formula>34</formula>
    </cfRule>
  </conditionalFormatting>
  <conditionalFormatting sqref="E1">
    <cfRule type="cellIs" dxfId="4" priority="1" operator="greaterThan">
      <formula>34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7832-5863-4536-8FF5-23EAE9F47C43}">
  <dimension ref="A1:G27"/>
  <sheetViews>
    <sheetView workbookViewId="0">
      <selection activeCell="C14" sqref="C14"/>
    </sheetView>
  </sheetViews>
  <sheetFormatPr defaultRowHeight="15" x14ac:dyDescent="0.25"/>
  <cols>
    <col min="1" max="1" width="21.42578125" bestFit="1" customWidth="1"/>
    <col min="2" max="2" width="28.28515625" bestFit="1" customWidth="1"/>
    <col min="3" max="3" width="34.85546875" customWidth="1"/>
    <col min="4" max="4" width="40.42578125" customWidth="1"/>
    <col min="5" max="5" width="9.140625" customWidth="1"/>
    <col min="7" max="7" width="17" bestFit="1" customWidth="1"/>
  </cols>
  <sheetData>
    <row r="1" spans="1:7" x14ac:dyDescent="0.25">
      <c r="A1" t="s">
        <v>95</v>
      </c>
      <c r="B1" t="s">
        <v>0</v>
      </c>
      <c r="C1" t="s">
        <v>1</v>
      </c>
      <c r="D1" t="s">
        <v>2</v>
      </c>
      <c r="E1" t="s">
        <v>120</v>
      </c>
      <c r="F1" t="s">
        <v>102</v>
      </c>
      <c r="G1" t="s">
        <v>122</v>
      </c>
    </row>
    <row r="2" spans="1:7" x14ac:dyDescent="0.25">
      <c r="A2" t="s">
        <v>80</v>
      </c>
      <c r="B2" t="str">
        <f>_xlfn.CONCAT("PROC1_", A2)</f>
        <v>PROC1_AG_LOW_SPEED_SP</v>
      </c>
      <c r="C2" t="str">
        <f>_xlfn.CONCAT("TEMP_", B2)</f>
        <v>TEMP_PROC1_AG_LOW_SPEED_SP</v>
      </c>
      <c r="D2" t="str">
        <f>_xlfn.CONCAT("LNPP_", C2)</f>
        <v>LNPP_TEMP_PROC1_AG_LOW_SPEED_SP</v>
      </c>
      <c r="E2">
        <f>LEN(D2)</f>
        <v>31</v>
      </c>
      <c r="F2" t="s">
        <v>103</v>
      </c>
    </row>
    <row r="3" spans="1:7" x14ac:dyDescent="0.25">
      <c r="A3" t="s">
        <v>89</v>
      </c>
      <c r="B3" t="str">
        <f t="shared" ref="B3:B27" si="0">_xlfn.CONCAT("PROC1_", A3)</f>
        <v>PROC1_AG_LOW_WT_SP</v>
      </c>
      <c r="C3" t="str">
        <f t="shared" ref="C3:C27" si="1">_xlfn.CONCAT("TEMP_", B3)</f>
        <v>TEMP_PROC1_AG_LOW_WT_SP</v>
      </c>
      <c r="D3" t="str">
        <f t="shared" ref="D3:D27" si="2">_xlfn.CONCAT("LNPP_", C3)</f>
        <v>LNPP_TEMP_PROC1_AG_LOW_WT_SP</v>
      </c>
      <c r="E3">
        <f t="shared" ref="E3:E27" si="3">LEN(D3)</f>
        <v>28</v>
      </c>
      <c r="F3" t="s">
        <v>103</v>
      </c>
    </row>
    <row r="4" spans="1:7" x14ac:dyDescent="0.25">
      <c r="A4" t="s">
        <v>81</v>
      </c>
      <c r="B4" t="str">
        <f t="shared" si="0"/>
        <v>PROC1_AG_MIN_START_SP</v>
      </c>
      <c r="C4" t="str">
        <f t="shared" si="1"/>
        <v>TEMP_PROC1_AG_MIN_START_SP</v>
      </c>
      <c r="D4" t="str">
        <f t="shared" si="2"/>
        <v>LNPP_TEMP_PROC1_AG_MIN_START_SP</v>
      </c>
      <c r="E4">
        <f t="shared" si="3"/>
        <v>31</v>
      </c>
      <c r="F4" t="s">
        <v>103</v>
      </c>
    </row>
    <row r="5" spans="1:7" x14ac:dyDescent="0.25">
      <c r="A5" t="s">
        <v>82</v>
      </c>
      <c r="B5" t="str">
        <f t="shared" si="0"/>
        <v>PROC1_AG_SPEED_SP</v>
      </c>
      <c r="C5" t="str">
        <f t="shared" si="1"/>
        <v>TEMP_PROC1_AG_SPEED_SP</v>
      </c>
      <c r="D5" t="str">
        <f t="shared" si="2"/>
        <v>LNPP_TEMP_PROC1_AG_SPEED_SP</v>
      </c>
      <c r="E5">
        <f t="shared" si="3"/>
        <v>27</v>
      </c>
      <c r="F5" t="s">
        <v>103</v>
      </c>
    </row>
    <row r="6" spans="1:7" x14ac:dyDescent="0.25">
      <c r="A6" t="s">
        <v>86</v>
      </c>
      <c r="B6" t="str">
        <f t="shared" si="0"/>
        <v>PROC1_AG_STATE_CMD</v>
      </c>
      <c r="C6" t="str">
        <f t="shared" si="1"/>
        <v>TEMP_PROC1_AG_STATE_CMD</v>
      </c>
      <c r="D6" t="str">
        <f t="shared" si="2"/>
        <v>LNPP_TEMP_PROC1_AG_STATE_CMD</v>
      </c>
      <c r="E6">
        <f t="shared" si="3"/>
        <v>28</v>
      </c>
      <c r="F6" t="s">
        <v>104</v>
      </c>
      <c r="G6" t="s">
        <v>106</v>
      </c>
    </row>
    <row r="7" spans="1:7" x14ac:dyDescent="0.25">
      <c r="A7" s="2" t="s">
        <v>13</v>
      </c>
      <c r="B7" s="1"/>
      <c r="D7" s="1"/>
      <c r="E7">
        <f t="shared" si="3"/>
        <v>0</v>
      </c>
      <c r="F7" t="s">
        <v>104</v>
      </c>
      <c r="G7" t="s">
        <v>107</v>
      </c>
    </row>
    <row r="8" spans="1:7" x14ac:dyDescent="0.25">
      <c r="A8" s="2" t="s">
        <v>16</v>
      </c>
      <c r="B8" s="1"/>
      <c r="D8" s="1"/>
      <c r="E8">
        <f t="shared" si="3"/>
        <v>0</v>
      </c>
      <c r="F8" t="s">
        <v>104</v>
      </c>
      <c r="G8" t="s">
        <v>108</v>
      </c>
    </row>
    <row r="9" spans="1:7" x14ac:dyDescent="0.25">
      <c r="A9" t="s">
        <v>83</v>
      </c>
      <c r="B9" s="1" t="str">
        <f t="shared" si="0"/>
        <v>PROC1_PAT_MIN_START_SP</v>
      </c>
      <c r="C9" t="str">
        <f t="shared" si="1"/>
        <v>TEMP_PROC1_PAT_MIN_START_SP</v>
      </c>
      <c r="D9" t="str">
        <f t="shared" si="2"/>
        <v>LNPP_TEMP_PROC1_PAT_MIN_START_SP</v>
      </c>
      <c r="E9">
        <f t="shared" si="3"/>
        <v>32</v>
      </c>
      <c r="F9" t="s">
        <v>103</v>
      </c>
    </row>
    <row r="10" spans="1:7" x14ac:dyDescent="0.25">
      <c r="A10" t="s">
        <v>87</v>
      </c>
      <c r="B10" s="1" t="str">
        <f t="shared" si="0"/>
        <v>PROC1_PAT_STATE_CMD</v>
      </c>
      <c r="C10" t="str">
        <f t="shared" si="1"/>
        <v>TEMP_PROC1_PAT_STATE_CMD</v>
      </c>
      <c r="D10" t="str">
        <f t="shared" si="2"/>
        <v>LNPP_TEMP_PROC1_PAT_STATE_CMD</v>
      </c>
      <c r="E10">
        <f t="shared" si="3"/>
        <v>29</v>
      </c>
      <c r="F10" t="s">
        <v>104</v>
      </c>
      <c r="G10" t="s">
        <v>106</v>
      </c>
    </row>
    <row r="11" spans="1:7" x14ac:dyDescent="0.25">
      <c r="A11" t="s">
        <v>96</v>
      </c>
      <c r="B11" s="1" t="str">
        <f t="shared" si="0"/>
        <v>PROC1_REC_FLSH_TIMER</v>
      </c>
      <c r="C11" t="str">
        <f t="shared" si="1"/>
        <v>TEMP_PROC1_REC_FLSH_TIMER</v>
      </c>
      <c r="D11" t="str">
        <f t="shared" si="2"/>
        <v>LNPP_TEMP_PROC1_REC_FLSH_TIMER</v>
      </c>
      <c r="E11">
        <f t="shared" si="3"/>
        <v>30</v>
      </c>
      <c r="F11" t="s">
        <v>105</v>
      </c>
    </row>
    <row r="12" spans="1:7" x14ac:dyDescent="0.25">
      <c r="A12" t="s">
        <v>97</v>
      </c>
      <c r="B12" s="1" t="str">
        <f t="shared" si="0"/>
        <v>PROC1_REC_INIT_TIMER</v>
      </c>
      <c r="C12" t="str">
        <f t="shared" si="1"/>
        <v>TEMP_PROC1_REC_INIT_TIMER</v>
      </c>
      <c r="D12" t="str">
        <f t="shared" si="2"/>
        <v>LNPP_TEMP_PROC1_REC_INIT_TIMER</v>
      </c>
      <c r="E12">
        <f t="shared" si="3"/>
        <v>30</v>
      </c>
      <c r="F12" t="s">
        <v>105</v>
      </c>
    </row>
    <row r="13" spans="1:7" x14ac:dyDescent="0.25">
      <c r="A13" t="s">
        <v>98</v>
      </c>
      <c r="B13" s="1" t="str">
        <f t="shared" si="0"/>
        <v>PROC1_REC_MIN_START_SP</v>
      </c>
      <c r="C13" t="str">
        <f t="shared" si="1"/>
        <v>TEMP_PROC1_REC_MIN_START_SP</v>
      </c>
      <c r="D13" t="str">
        <f t="shared" si="2"/>
        <v>LNPP_TEMP_PROC1_REC_MIN_START_SP</v>
      </c>
      <c r="E13">
        <f t="shared" si="3"/>
        <v>32</v>
      </c>
      <c r="F13" t="s">
        <v>103</v>
      </c>
    </row>
    <row r="14" spans="1:7" x14ac:dyDescent="0.25">
      <c r="A14" t="s">
        <v>99</v>
      </c>
      <c r="B14" s="1" t="str">
        <f t="shared" si="0"/>
        <v>PROC1_REC_SP_DB</v>
      </c>
      <c r="C14" t="str">
        <f t="shared" si="1"/>
        <v>TEMP_PROC1_REC_SP_DB</v>
      </c>
      <c r="D14" t="str">
        <f t="shared" si="2"/>
        <v>LNPP_TEMP_PROC1_REC_SP_DB</v>
      </c>
      <c r="E14">
        <f t="shared" si="3"/>
        <v>25</v>
      </c>
      <c r="F14" t="s">
        <v>103</v>
      </c>
    </row>
    <row r="15" spans="1:7" x14ac:dyDescent="0.25">
      <c r="A15" t="s">
        <v>100</v>
      </c>
      <c r="B15" s="1" t="str">
        <f t="shared" si="0"/>
        <v>PROC1_REC_SPEED_SP</v>
      </c>
      <c r="C15" t="str">
        <f t="shared" si="1"/>
        <v>TEMP_PROC1_REC_SPEED_SP</v>
      </c>
      <c r="D15" t="str">
        <f t="shared" si="2"/>
        <v>LNPP_TEMP_PROC1_REC_SPEED_SP</v>
      </c>
      <c r="E15">
        <f t="shared" si="3"/>
        <v>28</v>
      </c>
      <c r="F15" t="s">
        <v>103</v>
      </c>
    </row>
    <row r="16" spans="1:7" x14ac:dyDescent="0.25">
      <c r="A16" t="s">
        <v>101</v>
      </c>
      <c r="B16" s="1" t="str">
        <f t="shared" si="0"/>
        <v>PROC1_REC_STATE_CMD</v>
      </c>
      <c r="C16" t="str">
        <f t="shared" si="1"/>
        <v>TEMP_PROC1_REC_STATE_CMD</v>
      </c>
      <c r="D16" t="str">
        <f t="shared" si="2"/>
        <v>LNPP_TEMP_PROC1_REC_STATE_CMD</v>
      </c>
      <c r="E16">
        <f t="shared" si="3"/>
        <v>29</v>
      </c>
      <c r="F16" t="s">
        <v>104</v>
      </c>
      <c r="G16" t="s">
        <v>106</v>
      </c>
    </row>
    <row r="17" spans="1:7" x14ac:dyDescent="0.25">
      <c r="A17" s="2" t="s">
        <v>71</v>
      </c>
      <c r="B17" s="1"/>
      <c r="D17" s="1"/>
      <c r="E17">
        <f t="shared" si="3"/>
        <v>0</v>
      </c>
      <c r="F17" t="s">
        <v>104</v>
      </c>
      <c r="G17" t="s">
        <v>109</v>
      </c>
    </row>
    <row r="18" spans="1:7" x14ac:dyDescent="0.25">
      <c r="A18" s="2" t="s">
        <v>72</v>
      </c>
      <c r="B18" s="1"/>
      <c r="D18" s="1"/>
      <c r="E18">
        <f t="shared" si="3"/>
        <v>0</v>
      </c>
      <c r="F18" t="s">
        <v>104</v>
      </c>
      <c r="G18" t="s">
        <v>107</v>
      </c>
    </row>
    <row r="19" spans="1:7" x14ac:dyDescent="0.25">
      <c r="A19" s="2" t="s">
        <v>74</v>
      </c>
      <c r="B19" s="1"/>
      <c r="D19" s="1"/>
      <c r="E19">
        <f t="shared" si="3"/>
        <v>0</v>
      </c>
      <c r="F19" t="s">
        <v>105</v>
      </c>
    </row>
    <row r="20" spans="1:7" x14ac:dyDescent="0.25">
      <c r="A20" t="s">
        <v>93</v>
      </c>
      <c r="B20" t="str">
        <f t="shared" si="0"/>
        <v>PROC1_TEMP_CTRL_MODE</v>
      </c>
      <c r="C20" t="str">
        <f t="shared" si="1"/>
        <v>TEMP_PROC1_TEMP_CTRL_MODE</v>
      </c>
      <c r="D20" t="str">
        <f t="shared" si="2"/>
        <v>LNPP_TEMP_PROC1_TEMP_CTRL_MODE</v>
      </c>
      <c r="E20">
        <f t="shared" si="3"/>
        <v>30</v>
      </c>
      <c r="F20" t="s">
        <v>105</v>
      </c>
    </row>
    <row r="21" spans="1:7" x14ac:dyDescent="0.25">
      <c r="A21" t="s">
        <v>94</v>
      </c>
      <c r="B21" t="str">
        <f t="shared" si="0"/>
        <v>PROC1_TEMP_CTRL_SP</v>
      </c>
      <c r="C21" t="str">
        <f t="shared" si="1"/>
        <v>TEMP_PROC1_TEMP_CTRL_SP</v>
      </c>
      <c r="D21" t="str">
        <f t="shared" si="2"/>
        <v>LNPP_TEMP_PROC1_TEMP_CTRL_SP</v>
      </c>
      <c r="E21">
        <f t="shared" si="3"/>
        <v>28</v>
      </c>
      <c r="F21" t="s">
        <v>103</v>
      </c>
    </row>
    <row r="22" spans="1:7" x14ac:dyDescent="0.25">
      <c r="A22" t="s">
        <v>90</v>
      </c>
      <c r="B22" t="str">
        <f t="shared" si="0"/>
        <v>PROC1_TEMP_HIHI_ALM</v>
      </c>
      <c r="C22" t="str">
        <f t="shared" si="1"/>
        <v>TEMP_PROC1_TEMP_HIHI_ALM</v>
      </c>
      <c r="D22" t="str">
        <f t="shared" si="2"/>
        <v>LNPP_TEMP_PROC1_TEMP_HIHI_ALM</v>
      </c>
      <c r="E22">
        <f t="shared" si="3"/>
        <v>29</v>
      </c>
      <c r="F22" t="s">
        <v>103</v>
      </c>
    </row>
    <row r="23" spans="1:7" x14ac:dyDescent="0.25">
      <c r="A23" t="s">
        <v>91</v>
      </c>
      <c r="B23" t="str">
        <f t="shared" si="0"/>
        <v>PROC1_TEMP_HI_ALM</v>
      </c>
      <c r="C23" t="str">
        <f t="shared" si="1"/>
        <v>TEMP_PROC1_TEMP_HI_ALM</v>
      </c>
      <c r="D23" t="str">
        <f t="shared" si="2"/>
        <v>LNPP_TEMP_PROC1_TEMP_HI_ALM</v>
      </c>
      <c r="E23">
        <f t="shared" si="3"/>
        <v>27</v>
      </c>
      <c r="F23" t="s">
        <v>103</v>
      </c>
    </row>
    <row r="24" spans="1:7" x14ac:dyDescent="0.25">
      <c r="A24" t="s">
        <v>84</v>
      </c>
      <c r="B24" t="str">
        <f t="shared" si="0"/>
        <v>PROC1_TEMP_MIN_START_SP</v>
      </c>
      <c r="C24" t="str">
        <f t="shared" si="1"/>
        <v>TEMP_PROC1_TEMP_MIN_START_SP</v>
      </c>
      <c r="D24" t="str">
        <f t="shared" si="2"/>
        <v>LNPP_TEMP_PROC1_TEMP_MIN_START_SP</v>
      </c>
      <c r="E24">
        <f t="shared" si="3"/>
        <v>33</v>
      </c>
      <c r="F24" t="s">
        <v>103</v>
      </c>
    </row>
    <row r="25" spans="1:7" x14ac:dyDescent="0.25">
      <c r="A25" t="s">
        <v>92</v>
      </c>
      <c r="B25" t="str">
        <f t="shared" si="0"/>
        <v>PROC1_TEMP_SP_DB</v>
      </c>
      <c r="C25" t="str">
        <f t="shared" si="1"/>
        <v>TEMP_PROC1_TEMP_SP_DB</v>
      </c>
      <c r="D25" t="str">
        <f t="shared" si="2"/>
        <v>LNPP_TEMP_PROC1_TEMP_SP_DB</v>
      </c>
      <c r="E25">
        <f t="shared" si="3"/>
        <v>26</v>
      </c>
      <c r="F25" t="s">
        <v>103</v>
      </c>
    </row>
    <row r="26" spans="1:7" x14ac:dyDescent="0.25">
      <c r="A26" t="s">
        <v>85</v>
      </c>
      <c r="B26" t="str">
        <f t="shared" si="0"/>
        <v>PROC1_TEMP_SPEED_SP</v>
      </c>
      <c r="C26" t="str">
        <f t="shared" si="1"/>
        <v>TEMP_PROC1_TEMP_SPEED_SP</v>
      </c>
      <c r="D26" t="str">
        <f t="shared" si="2"/>
        <v>LNPP_TEMP_PROC1_TEMP_SPEED_SP</v>
      </c>
      <c r="E26">
        <f t="shared" si="3"/>
        <v>29</v>
      </c>
      <c r="F26" t="s">
        <v>103</v>
      </c>
    </row>
    <row r="27" spans="1:7" x14ac:dyDescent="0.25">
      <c r="A27" t="s">
        <v>88</v>
      </c>
      <c r="B27" t="str">
        <f t="shared" si="0"/>
        <v>PROC1_TEMP_STATE_CMD</v>
      </c>
      <c r="C27" t="str">
        <f t="shared" si="1"/>
        <v>TEMP_PROC1_TEMP_STATE_CMD</v>
      </c>
      <c r="D27" t="str">
        <f t="shared" si="2"/>
        <v>LNPP_TEMP_PROC1_TEMP_STATE_CMD</v>
      </c>
      <c r="E27">
        <f t="shared" si="3"/>
        <v>30</v>
      </c>
      <c r="F27" t="s">
        <v>104</v>
      </c>
      <c r="G27" t="s">
        <v>106</v>
      </c>
    </row>
  </sheetData>
  <conditionalFormatting sqref="E2:E1048576">
    <cfRule type="cellIs" dxfId="3" priority="2" operator="greaterThan">
      <formula>34</formula>
    </cfRule>
  </conditionalFormatting>
  <conditionalFormatting sqref="E1">
    <cfRule type="cellIs" dxfId="2" priority="1" operator="greaterThan">
      <formula>34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5269-B51D-4BAC-8C27-4A342B205987}">
  <dimension ref="A1:G20"/>
  <sheetViews>
    <sheetView workbookViewId="0">
      <selection activeCell="D26" sqref="D26"/>
    </sheetView>
  </sheetViews>
  <sheetFormatPr defaultRowHeight="15" x14ac:dyDescent="0.25"/>
  <cols>
    <col min="1" max="1" width="28.28515625" bestFit="1" customWidth="1"/>
    <col min="2" max="2" width="28.140625" bestFit="1" customWidth="1"/>
    <col min="3" max="3" width="34.7109375" customWidth="1"/>
    <col min="4" max="4" width="40.28515625" customWidth="1"/>
    <col min="5" max="5" width="9.140625" customWidth="1"/>
    <col min="7" max="7" width="17" bestFit="1" customWidth="1"/>
  </cols>
  <sheetData>
    <row r="1" spans="1:7" x14ac:dyDescent="0.25">
      <c r="A1" t="s">
        <v>95</v>
      </c>
      <c r="B1" t="s">
        <v>0</v>
      </c>
      <c r="C1" t="s">
        <v>1</v>
      </c>
      <c r="D1" t="s">
        <v>2</v>
      </c>
      <c r="E1" t="s">
        <v>120</v>
      </c>
      <c r="F1" t="s">
        <v>102</v>
      </c>
      <c r="G1" t="s">
        <v>122</v>
      </c>
    </row>
    <row r="2" spans="1:7" x14ac:dyDescent="0.25">
      <c r="A2" s="2" t="s">
        <v>13</v>
      </c>
      <c r="B2" s="2" t="str">
        <f>_xlfn.CONCAT("PMPT1_", A2)</f>
        <v>PMPT1_END_PHASE_PROMPT</v>
      </c>
      <c r="C2" s="1"/>
      <c r="D2" s="1"/>
      <c r="E2">
        <f>LEN(D2)</f>
        <v>0</v>
      </c>
      <c r="F2" t="s">
        <v>104</v>
      </c>
      <c r="G2" t="s">
        <v>107</v>
      </c>
    </row>
    <row r="3" spans="1:7" x14ac:dyDescent="0.25">
      <c r="A3" s="2" t="s">
        <v>16</v>
      </c>
      <c r="B3" s="2" t="str">
        <f t="shared" ref="B3:B20" si="0">_xlfn.CONCAT("PMPT1_", A3)</f>
        <v>PMPT1_END_TYPE</v>
      </c>
      <c r="C3" s="1"/>
      <c r="D3" s="1"/>
      <c r="E3">
        <f t="shared" ref="E3:E20" si="1">LEN(D3)</f>
        <v>0</v>
      </c>
      <c r="F3" t="s">
        <v>104</v>
      </c>
      <c r="G3" t="s">
        <v>108</v>
      </c>
    </row>
    <row r="4" spans="1:7" x14ac:dyDescent="0.25">
      <c r="A4" s="1" t="s">
        <v>130</v>
      </c>
      <c r="B4" s="1" t="str">
        <f t="shared" si="0"/>
        <v>PMPT1_MSG_CRITERIA_1</v>
      </c>
      <c r="C4" s="1" t="str">
        <f t="shared" ref="C3:C20" si="2">_xlfn.CONCAT("PROC_", B4)</f>
        <v>PROC_PMPT1_MSG_CRITERIA_1</v>
      </c>
      <c r="D4" s="1" t="str">
        <f t="shared" ref="D3:D20" si="3">_xlfn.CONCAT("LNPP_", C4)</f>
        <v>LNPP_PROC_PMPT1_MSG_CRITERIA_1</v>
      </c>
      <c r="E4">
        <f t="shared" si="1"/>
        <v>30</v>
      </c>
      <c r="F4" t="s">
        <v>121</v>
      </c>
    </row>
    <row r="5" spans="1:7" x14ac:dyDescent="0.25">
      <c r="A5" s="1" t="s">
        <v>131</v>
      </c>
      <c r="B5" s="1" t="str">
        <f t="shared" si="0"/>
        <v>PMPT1_MSG_CRITERIA_2</v>
      </c>
      <c r="C5" s="1" t="str">
        <f t="shared" si="2"/>
        <v>PROC_PMPT1_MSG_CRITERIA_2</v>
      </c>
      <c r="D5" s="1" t="str">
        <f t="shared" si="3"/>
        <v>LNPP_PROC_PMPT1_MSG_CRITERIA_2</v>
      </c>
      <c r="E5">
        <f t="shared" si="1"/>
        <v>30</v>
      </c>
      <c r="F5" t="s">
        <v>121</v>
      </c>
    </row>
    <row r="6" spans="1:7" x14ac:dyDescent="0.25">
      <c r="A6" t="s">
        <v>132</v>
      </c>
      <c r="B6" t="str">
        <f t="shared" si="0"/>
        <v>PMPT1_MSG_EU_1</v>
      </c>
      <c r="C6" s="1" t="str">
        <f t="shared" si="2"/>
        <v>PROC_PMPT1_MSG_EU_1</v>
      </c>
      <c r="D6" s="1" t="str">
        <f t="shared" si="3"/>
        <v>LNPP_PROC_PMPT1_MSG_EU_1</v>
      </c>
      <c r="E6">
        <f t="shared" si="1"/>
        <v>24</v>
      </c>
      <c r="F6" t="s">
        <v>121</v>
      </c>
    </row>
    <row r="7" spans="1:7" x14ac:dyDescent="0.25">
      <c r="A7" t="s">
        <v>133</v>
      </c>
      <c r="B7" t="str">
        <f t="shared" si="0"/>
        <v>PMPT1_MSG_EU_2</v>
      </c>
      <c r="C7" s="1" t="str">
        <f t="shared" si="2"/>
        <v>PROC_PMPT1_MSG_EU_2</v>
      </c>
      <c r="D7" s="1" t="str">
        <f t="shared" si="3"/>
        <v>LNPP_PROC_PMPT1_MSG_EU_2</v>
      </c>
      <c r="E7">
        <f t="shared" si="1"/>
        <v>24</v>
      </c>
      <c r="F7" t="s">
        <v>121</v>
      </c>
    </row>
    <row r="8" spans="1:7" x14ac:dyDescent="0.25">
      <c r="A8" t="s">
        <v>134</v>
      </c>
      <c r="B8" t="str">
        <f t="shared" si="0"/>
        <v>PMPT1_MSG_HI_LIM_1</v>
      </c>
      <c r="C8" s="1" t="str">
        <f t="shared" si="2"/>
        <v>PROC_PMPT1_MSG_HI_LIM_1</v>
      </c>
      <c r="D8" s="1" t="str">
        <f t="shared" si="3"/>
        <v>LNPP_PROC_PMPT1_MSG_HI_LIM_1</v>
      </c>
      <c r="E8">
        <f t="shared" si="1"/>
        <v>28</v>
      </c>
      <c r="F8" t="s">
        <v>105</v>
      </c>
    </row>
    <row r="9" spans="1:7" x14ac:dyDescent="0.25">
      <c r="A9" t="s">
        <v>135</v>
      </c>
      <c r="B9" t="str">
        <f t="shared" si="0"/>
        <v>PMPT1_MSG_HI_LIM_2</v>
      </c>
      <c r="C9" s="1" t="str">
        <f t="shared" si="2"/>
        <v>PROC_PMPT1_MSG_HI_LIM_2</v>
      </c>
      <c r="D9" s="1" t="str">
        <f t="shared" si="3"/>
        <v>LNPP_PROC_PMPT1_MSG_HI_LIM_2</v>
      </c>
      <c r="E9">
        <f t="shared" si="1"/>
        <v>28</v>
      </c>
      <c r="F9" t="s">
        <v>105</v>
      </c>
    </row>
    <row r="10" spans="1:7" x14ac:dyDescent="0.25">
      <c r="A10" t="s">
        <v>136</v>
      </c>
      <c r="B10" t="str">
        <f t="shared" si="0"/>
        <v>PMPT1_MSG_LO_LIM_1</v>
      </c>
      <c r="C10" s="1" t="str">
        <f t="shared" si="2"/>
        <v>PROC_PMPT1_MSG_LO_LIM_1</v>
      </c>
      <c r="D10" s="1" t="str">
        <f t="shared" si="3"/>
        <v>LNPP_PROC_PMPT1_MSG_LO_LIM_1</v>
      </c>
      <c r="E10">
        <f t="shared" si="1"/>
        <v>28</v>
      </c>
      <c r="F10" t="s">
        <v>105</v>
      </c>
    </row>
    <row r="11" spans="1:7" x14ac:dyDescent="0.25">
      <c r="A11" t="s">
        <v>137</v>
      </c>
      <c r="B11" t="str">
        <f t="shared" si="0"/>
        <v>PMPT1_MSG_LO_LIM_2</v>
      </c>
      <c r="C11" s="1" t="str">
        <f t="shared" si="2"/>
        <v>PROC_PMPT1_MSG_LO_LIM_2</v>
      </c>
      <c r="D11" s="1" t="str">
        <f t="shared" si="3"/>
        <v>LNPP_PROC_PMPT1_MSG_LO_LIM_2</v>
      </c>
      <c r="E11">
        <f t="shared" si="1"/>
        <v>28</v>
      </c>
      <c r="F11" t="s">
        <v>105</v>
      </c>
    </row>
    <row r="12" spans="1:7" x14ac:dyDescent="0.25">
      <c r="A12" t="s">
        <v>138</v>
      </c>
      <c r="B12" t="str">
        <f t="shared" si="0"/>
        <v>PMPT1_MSG_NUM_DEC_PLC_1</v>
      </c>
      <c r="C12" s="1" t="str">
        <f t="shared" si="2"/>
        <v>PROC_PMPT1_MSG_NUM_DEC_PLC_1</v>
      </c>
      <c r="D12" s="1" t="str">
        <f t="shared" si="3"/>
        <v>LNPP_PROC_PMPT1_MSG_NUM_DEC_PLC_1</v>
      </c>
      <c r="E12">
        <f t="shared" si="1"/>
        <v>33</v>
      </c>
      <c r="F12" t="s">
        <v>105</v>
      </c>
    </row>
    <row r="13" spans="1:7" x14ac:dyDescent="0.25">
      <c r="A13" s="1" t="s">
        <v>139</v>
      </c>
      <c r="B13" s="1" t="str">
        <f t="shared" si="0"/>
        <v>PMPT1_MSG_NUM_DEC_PLC_2</v>
      </c>
      <c r="C13" s="1" t="str">
        <f t="shared" si="2"/>
        <v>PROC_PMPT1_MSG_NUM_DEC_PLC_2</v>
      </c>
      <c r="D13" s="1" t="str">
        <f t="shared" si="3"/>
        <v>LNPP_PROC_PMPT1_MSG_NUM_DEC_PLC_2</v>
      </c>
      <c r="E13">
        <f t="shared" si="1"/>
        <v>33</v>
      </c>
      <c r="F13" t="s">
        <v>105</v>
      </c>
    </row>
    <row r="14" spans="1:7" x14ac:dyDescent="0.25">
      <c r="A14" t="s">
        <v>140</v>
      </c>
      <c r="B14" t="str">
        <f t="shared" si="0"/>
        <v>PMPT1_PROMPT_MSG_MAIN</v>
      </c>
      <c r="C14" s="1" t="str">
        <f t="shared" si="2"/>
        <v>PROC_PMPT1_PROMPT_MSG_MAIN</v>
      </c>
      <c r="D14" s="1" t="str">
        <f t="shared" si="3"/>
        <v>LNPP_PROC_PMPT1_PROMPT_MSG_MAIN</v>
      </c>
      <c r="E14">
        <f t="shared" si="1"/>
        <v>31</v>
      </c>
      <c r="F14" t="s">
        <v>121</v>
      </c>
    </row>
    <row r="15" spans="1:7" x14ac:dyDescent="0.25">
      <c r="A15" s="1" t="s">
        <v>141</v>
      </c>
      <c r="B15" s="1" t="str">
        <f t="shared" si="0"/>
        <v>PMPT1_PROMPT_MSG_TYPE</v>
      </c>
      <c r="C15" s="1" t="str">
        <f t="shared" si="2"/>
        <v>PROC_PMPT1_PROMPT_MSG_TYPE</v>
      </c>
      <c r="D15" s="1" t="str">
        <f t="shared" si="3"/>
        <v>LNPP_PROC_PMPT1_PROMPT_MSG_TYPE</v>
      </c>
      <c r="E15">
        <f t="shared" si="1"/>
        <v>31</v>
      </c>
      <c r="F15" t="s">
        <v>104</v>
      </c>
      <c r="G15" t="s">
        <v>142</v>
      </c>
    </row>
    <row r="16" spans="1:7" x14ac:dyDescent="0.25">
      <c r="A16" t="s">
        <v>128</v>
      </c>
      <c r="B16" t="str">
        <f t="shared" si="0"/>
        <v>PMPT1_PROMPT_TITLE_1</v>
      </c>
      <c r="C16" s="1" t="str">
        <f t="shared" si="2"/>
        <v>PROC_PMPT1_PROMPT_TITLE_1</v>
      </c>
      <c r="D16" s="1" t="str">
        <f t="shared" si="3"/>
        <v>LNPP_PROC_PMPT1_PROMPT_TITLE_1</v>
      </c>
      <c r="E16">
        <f t="shared" si="1"/>
        <v>30</v>
      </c>
      <c r="F16" t="s">
        <v>121</v>
      </c>
    </row>
    <row r="17" spans="1:7" x14ac:dyDescent="0.25">
      <c r="A17" t="s">
        <v>129</v>
      </c>
      <c r="B17" t="str">
        <f t="shared" si="0"/>
        <v>PMPT1_PROMPT_TITLE_2</v>
      </c>
      <c r="C17" s="1" t="str">
        <f t="shared" si="2"/>
        <v>PROC_PMPT1_PROMPT_TITLE_2</v>
      </c>
      <c r="D17" s="1" t="str">
        <f t="shared" si="3"/>
        <v>LNPP_PROC_PMPT1_PROMPT_TITLE_2</v>
      </c>
      <c r="E17">
        <f t="shared" si="1"/>
        <v>30</v>
      </c>
      <c r="F17" t="s">
        <v>121</v>
      </c>
    </row>
    <row r="18" spans="1:7" x14ac:dyDescent="0.25">
      <c r="A18" s="2" t="s">
        <v>71</v>
      </c>
      <c r="B18" s="2" t="str">
        <f t="shared" si="0"/>
        <v>PMPT1_RESTART_TYPE</v>
      </c>
      <c r="C18" s="1"/>
      <c r="D18" s="1"/>
      <c r="E18">
        <f t="shared" si="1"/>
        <v>0</v>
      </c>
      <c r="F18" t="s">
        <v>104</v>
      </c>
      <c r="G18" t="s">
        <v>109</v>
      </c>
    </row>
    <row r="19" spans="1:7" x14ac:dyDescent="0.25">
      <c r="A19" s="2" t="s">
        <v>72</v>
      </c>
      <c r="B19" s="2" t="str">
        <f t="shared" si="0"/>
        <v>PMPT1_START_PHASE_PROMPT</v>
      </c>
      <c r="C19" s="1"/>
      <c r="D19" s="1"/>
      <c r="E19">
        <f t="shared" si="1"/>
        <v>0</v>
      </c>
      <c r="F19" t="s">
        <v>104</v>
      </c>
      <c r="G19" t="s">
        <v>107</v>
      </c>
    </row>
    <row r="20" spans="1:7" x14ac:dyDescent="0.25">
      <c r="A20" s="2" t="s">
        <v>74</v>
      </c>
      <c r="B20" s="2" t="str">
        <f t="shared" si="0"/>
        <v>PMPT1_SYNC</v>
      </c>
      <c r="C20" s="1"/>
      <c r="D20" s="1"/>
      <c r="E20">
        <f t="shared" si="1"/>
        <v>0</v>
      </c>
      <c r="F20" t="s">
        <v>105</v>
      </c>
    </row>
  </sheetData>
  <conditionalFormatting sqref="E1">
    <cfRule type="cellIs" dxfId="1" priority="2" operator="greaterThan">
      <formula>34</formula>
    </cfRule>
  </conditionalFormatting>
  <conditionalFormatting sqref="E2:E20">
    <cfRule type="cellIs" dxfId="0" priority="1" operator="greaterThan">
      <formula>34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ac5f50f-13f5-4e01-aa75-c75848bea56a}" enabled="0" method="" siteId="{6ac5f50f-13f5-4e01-aa75-c75848bea5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ANALYTICS</vt:lpstr>
      <vt:lpstr>ACQ_REL</vt:lpstr>
      <vt:lpstr>FLOW</vt:lpstr>
      <vt:lpstr>PROCESS</vt:lpstr>
      <vt:lpstr>PROMPT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Bass, Craig</dc:creator>
  <cp:lastModifiedBy>Bass, Craig</cp:lastModifiedBy>
  <dcterms:created xsi:type="dcterms:W3CDTF">2025-03-14T00:59:01Z</dcterms:created>
  <dcterms:modified xsi:type="dcterms:W3CDTF">2025-03-14T22:33:28Z</dcterms:modified>
</cp:coreProperties>
</file>